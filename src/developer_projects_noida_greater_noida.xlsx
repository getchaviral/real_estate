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eloper Projects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'Developer Projects'!$A$1:$P$86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<sst xmlns="http://schemas.openxmlformats.org/spreadsheetml/2006/main" count="720" uniqueCount="409">
  <si>
    <t xml:space="preserve">S.No</t>
  </si>
  <si>
    <t xml:space="preserve">Developer</t>
  </si>
  <si>
    <t xml:space="preserve">Project Name</t>
  </si>
  <si>
    <t xml:space="preserve">Location (Sector / Area)</t>
  </si>
  <si>
    <t xml:space="preserve">Project Type</t>
  </si>
  <si>
    <t xml:space="preserve">Status</t>
  </si>
  <si>
    <t xml:space="preserve">RERA No.</t>
  </si>
  <si>
    <t xml:space="preserve">Area (Acres)</t>
  </si>
  <si>
    <t xml:space="preserve">Towers</t>
  </si>
  <si>
    <t xml:space="preserve">Units</t>
  </si>
  <si>
    <t xml:space="preserve">Configuration</t>
  </si>
  <si>
    <t xml:space="preserve">Unit Size Range</t>
  </si>
  <si>
    <t xml:space="preserve">Price Range (approx.)</t>
  </si>
  <si>
    <t xml:space="preserve">Possession / Completion</t>
  </si>
  <si>
    <t xml:space="preserve">Key Amenities / Features</t>
  </si>
  <si>
    <t xml:space="preserve">Notes</t>
  </si>
  <si>
    <t xml:space="preserve">Nirala India</t>
  </si>
  <si>
    <t xml:space="preserve">Nirala Greenshire Phase I</t>
  </si>
  <si>
    <t xml:space="preserve">Sector 18, Greater Noida</t>
  </si>
  <si>
    <t xml:space="preserve">Residential</t>
  </si>
  <si>
    <t xml:space="preserve">Completed</t>
  </si>
  <si>
    <t xml:space="preserve">Nirala Aspire Phase I</t>
  </si>
  <si>
    <t xml:space="preserve">Sector 16, Greater Noida West</t>
  </si>
  <si>
    <t xml:space="preserve">176</t>
  </si>
  <si>
    <t xml:space="preserve">Completed phase; new phases since launched</t>
  </si>
  <si>
    <t xml:space="preserve">Nirala Aspire Phase II</t>
  </si>
  <si>
    <t xml:space="preserve">Ongoing</t>
  </si>
  <si>
    <t xml:space="preserve">950</t>
  </si>
  <si>
    <t xml:space="preserve">Nirala Grand</t>
  </si>
  <si>
    <t xml:space="preserve">Sector 1, Greater Noida West</t>
  </si>
  <si>
    <t xml:space="preserve">10.5</t>
  </si>
  <si>
    <t xml:space="preserve">2/3/4 BHK</t>
  </si>
  <si>
    <t xml:space="preserve">Vastu-compliant; Central Brahmasthal with Banyan Tree; Grand Clubhouse, gym, indoor games; 35+ amenities</t>
  </si>
  <si>
    <t xml:space="preserve">Launched ~Dec 2025</t>
  </si>
  <si>
    <t xml:space="preserve">Nirala Estate (Phases 2-5)</t>
  </si>
  <si>
    <t xml:space="preserve">Techzone-IV, Greater Noida West</t>
  </si>
  <si>
    <t xml:space="preserve">25</t>
  </si>
  <si>
    <t xml:space="preserve">21</t>
  </si>
  <si>
    <t xml:space="preserve">3600</t>
  </si>
  <si>
    <t xml:space="preserve">2/3 BHK</t>
  </si>
  <si>
    <t xml:space="preserve">From ~₹13,000/sq ft (2BHK ~₹1.29-1.31 Cr, 3BHK ~₹2.49 Cr)</t>
  </si>
  <si>
    <t xml:space="preserve">Ph.1 delivered 2017; Ph.2 May 2025; Ph.3&amp;4 Dec 2026; Ph.5 Nov 2027</t>
  </si>
  <si>
    <t xml:space="preserve">45,000 sq ft clubhouse; 18% open green space; lift ratio ~1:48-1:72</t>
  </si>
  <si>
    <t xml:space="preserve">Nirala Gateway</t>
  </si>
  <si>
    <t xml:space="preserve">Sector 12, Greater Noida West</t>
  </si>
  <si>
    <t xml:space="preserve">Nirala Greenshire Phase II</t>
  </si>
  <si>
    <t xml:space="preserve">Sector 2, Noida Extension</t>
  </si>
  <si>
    <t xml:space="preserve">Upcoming</t>
  </si>
  <si>
    <t xml:space="preserve">Connected to Greater Noida West Link Road</t>
  </si>
  <si>
    <t xml:space="preserve">Nirala World</t>
  </si>
  <si>
    <t xml:space="preserve">Nirala Trio</t>
  </si>
  <si>
    <t xml:space="preserve">Sector 2, Greater Noida West</t>
  </si>
  <si>
    <t xml:space="preserve">3 BHK (ultra-luxury)</t>
  </si>
  <si>
    <t xml:space="preserve">~Oct 2026 (approx.)</t>
  </si>
  <si>
    <t xml:space="preserve">Central Green/park; 2.5 km from GNW Link Road</t>
  </si>
  <si>
    <t xml:space="preserve">Developed under Nirala World brand</t>
  </si>
  <si>
    <t xml:space="preserve">Nirala World (flagship residential)</t>
  </si>
  <si>
    <t xml:space="preserve">Greater Noida West</t>
  </si>
  <si>
    <t xml:space="preserve">Nirala World Commercial, Sector 12</t>
  </si>
  <si>
    <t xml:space="preserve">Sector 12, Noida Extension</t>
  </si>
  <si>
    <t xml:space="preserve">Commercial</t>
  </si>
  <si>
    <t xml:space="preserve">Retail, office space</t>
  </si>
  <si>
    <t xml:space="preserve">On Noida-Greater Noida Expressway</t>
  </si>
  <si>
    <t xml:space="preserve">Unibera</t>
  </si>
  <si>
    <t xml:space="preserve">Unibera Towers</t>
  </si>
  <si>
    <t xml:space="preserve">Sector 1, Greater Noida</t>
  </si>
  <si>
    <t xml:space="preserve">Residential (+ commercial block)</t>
  </si>
  <si>
    <t xml:space="preserve">UPRERAPRJ2537</t>
  </si>
  <si>
    <t xml:space="preserve">4.44</t>
  </si>
  <si>
    <t xml:space="preserve">5-7</t>
  </si>
  <si>
    <t xml:space="preserve">711</t>
  </si>
  <si>
    <t xml:space="preserve">2/3/4 BHK + Other</t>
  </si>
  <si>
    <t xml:space="preserve">635-1475 sq ft</t>
  </si>
  <si>
    <t xml:space="preserve">₹27.90L-48.00L (also cited up to ₹92.41L)</t>
  </si>
  <si>
    <t xml:space="preserve">Possession offered Nov 2019 (launched Aug 2016)</t>
  </si>
  <si>
    <t xml:space="preserve">Gym, power backup, badminton/basketball court, swimming pool, skating rink; 75% open space</t>
  </si>
  <si>
    <t xml:space="preserve">21 floors; loans via ICICI Bank &amp; PNB</t>
  </si>
  <si>
    <t xml:space="preserve">Bhutani Group</t>
  </si>
  <si>
    <t xml:space="preserve">Bhutani Alphathum</t>
  </si>
  <si>
    <t xml:space="preserve">Sector 90, Noida</t>
  </si>
  <si>
    <t xml:space="preserve">3</t>
  </si>
  <si>
    <t xml:space="preserve">IT offices, retail, food court</t>
  </si>
  <si>
    <t xml:space="preserve">LEED Gold rated; ~53,000 sq ft floor plates; inspired by Singapore architecture</t>
  </si>
  <si>
    <t xml:space="preserve">Bhutani Cyberthum</t>
  </si>
  <si>
    <t xml:space="preserve">Sector 140A, Noida</t>
  </si>
  <si>
    <t xml:space="preserve">Office, retail, food court, co-working</t>
  </si>
  <si>
    <t xml:space="preserve">Bhutani Grandthum</t>
  </si>
  <si>
    <t xml:space="preserve">Noida Extension / Greater Noida West</t>
  </si>
  <si>
    <t xml:space="preserve">Retail, office, co-working, food court</t>
  </si>
  <si>
    <t xml:space="preserve">Anchor brands: Allen Solly, Pantaloons, Miraj Cinemas, Reebok, Tata Westside, Van Heusen</t>
  </si>
  <si>
    <t xml:space="preserve">Co-branded with Group 108</t>
  </si>
  <si>
    <t xml:space="preserve">Bhutani Avenue 62</t>
  </si>
  <si>
    <t xml:space="preserve">Sector 62, Noida</t>
  </si>
  <si>
    <t xml:space="preserve">Retail</t>
  </si>
  <si>
    <t xml:space="preserve">5 Lacs+ footfall potential; only retail destination in Sector 62</t>
  </si>
  <si>
    <t xml:space="preserve">Interior waterfall (25m)</t>
  </si>
  <si>
    <t xml:space="preserve">Bhutani Experience</t>
  </si>
  <si>
    <t xml:space="preserve">Sector 32, Noida</t>
  </si>
  <si>
    <t xml:space="preserve">Residential (studio)</t>
  </si>
  <si>
    <t xml:space="preserve">286</t>
  </si>
  <si>
    <t xml:space="preserve">Studio (0 BHK)</t>
  </si>
  <si>
    <t xml:space="preserve">726-1141 sq ft</t>
  </si>
  <si>
    <t xml:space="preserve">Fully furnished, pre-leased 5-star studios</t>
  </si>
  <si>
    <t xml:space="preserve">20 floors</t>
  </si>
  <si>
    <t xml:space="preserve">Bhutani City Center 150</t>
  </si>
  <si>
    <t xml:space="preserve">Sector 150, Noida</t>
  </si>
  <si>
    <t xml:space="preserve">High-street retail, entertainment</t>
  </si>
  <si>
    <t xml:space="preserve">Group 108</t>
  </si>
  <si>
    <t xml:space="preserve">iThum</t>
  </si>
  <si>
    <t xml:space="preserve">Flagship commercial project cited alongside Parmesh Complex, Delhi</t>
  </si>
  <si>
    <t xml:space="preserve">Grandthum</t>
  </si>
  <si>
    <t xml:space="preserve">Mixed (Residential + Commercial)</t>
  </si>
  <si>
    <t xml:space="preserve">Residential + commercial</t>
  </si>
  <si>
    <t xml:space="preserve">Co-developed under Bhutani/Group 108 branding</t>
  </si>
  <si>
    <t xml:space="preserve">One FNG</t>
  </si>
  <si>
    <t xml:space="preserve">Sector 142, Noida</t>
  </si>
  <si>
    <t xml:space="preserve">UPRERAPRJ279516</t>
  </si>
  <si>
    <t xml:space="preserve">14.46</t>
  </si>
  <si>
    <t xml:space="preserve">Office, retail</t>
  </si>
  <si>
    <t xml:space="preserve">From ₹60,00,000</t>
  </si>
  <si>
    <t xml:space="preserve">~2028</t>
  </si>
  <si>
    <t xml:space="preserve">Adjoins Advant Tower &amp; Noida Metro Sector 142 station</t>
  </si>
  <si>
    <t xml:space="preserve">Leasehold</t>
  </si>
  <si>
    <t xml:space="preserve">Gulsan Group</t>
  </si>
  <si>
    <t xml:space="preserve">Gulshan Dynasty</t>
  </si>
  <si>
    <t xml:space="preserve">Greater Noida West / Noida</t>
  </si>
  <si>
    <t xml:space="preserve">Possession available soon</t>
  </si>
  <si>
    <t xml:space="preserve">Flagship luxury development</t>
  </si>
  <si>
    <t xml:space="preserve">Nearing completion</t>
  </si>
  <si>
    <t xml:space="preserve">Gulshan Avante</t>
  </si>
  <si>
    <t xml:space="preserve">4-bedroom luxury concept</t>
  </si>
  <si>
    <t xml:space="preserve">Gulshan Bellina</t>
  </si>
  <si>
    <t xml:space="preserve">Sector 16, Greater Noida</t>
  </si>
  <si>
    <t xml:space="preserve">Ready to move</t>
  </si>
  <si>
    <t xml:space="preserve">Central lawn, open-air theatre, yoga/meditation decks, gym, pool</t>
  </si>
  <si>
    <t xml:space="preserve">36-year legacy brand</t>
  </si>
  <si>
    <t xml:space="preserve">Gulshan Botnia</t>
  </si>
  <si>
    <t xml:space="preserve">Sector 144, Noida</t>
  </si>
  <si>
    <t xml:space="preserve">Gulshan Botnia Phase 2</t>
  </si>
  <si>
    <t xml:space="preserve">Clubhouse, jogging track, indoor games, rainwater harvesting, solar lighting</t>
  </si>
  <si>
    <t xml:space="preserve">Gulshan Vivante</t>
  </si>
  <si>
    <t xml:space="preserve">Sector 137, Noida</t>
  </si>
  <si>
    <t xml:space="preserve">Clubhouse, pool, landscaped gardens</t>
  </si>
  <si>
    <t xml:space="preserve">Gulshan Ikebana</t>
  </si>
  <si>
    <t xml:space="preserve">Sector 143, Noida</t>
  </si>
  <si>
    <t xml:space="preserve">Gulshan One29</t>
  </si>
  <si>
    <t xml:space="preserve">Sector 129, Noida Expressway</t>
  </si>
  <si>
    <t xml:space="preserve">One of Gulshan's prime commercial projects</t>
  </si>
  <si>
    <t xml:space="preserve">ATS</t>
  </si>
  <si>
    <t xml:space="preserve">ATS One Hamlet</t>
  </si>
  <si>
    <t xml:space="preserve">Sector 50, Noida</t>
  </si>
  <si>
    <t xml:space="preserve">14.5</t>
  </si>
  <si>
    <t xml:space="preserve">352</t>
  </si>
  <si>
    <t xml:space="preserve">3/4 BHK</t>
  </si>
  <si>
    <t xml:space="preserve">1636-3115 sq ft</t>
  </si>
  <si>
    <t xml:space="preserve">IRR of 54% recorded on an early ASK Group exit</t>
  </si>
  <si>
    <t xml:space="preserve">ATS Greens II</t>
  </si>
  <si>
    <t xml:space="preserve">ATS Pristine Phase 2</t>
  </si>
  <si>
    <t xml:space="preserve">113</t>
  </si>
  <si>
    <t xml:space="preserve">Luxury apartments</t>
  </si>
  <si>
    <t xml:space="preserve">Connected to Noida-Greater Noida &amp; Yamuna Expressways</t>
  </si>
  <si>
    <t xml:space="preserve">ATS Dolce Phase 2</t>
  </si>
  <si>
    <t xml:space="preserve">Sector Zeta-1, Greater Noida West</t>
  </si>
  <si>
    <t xml:space="preserve">New phase recently launched</t>
  </si>
  <si>
    <t xml:space="preserve">ATS Destinaire</t>
  </si>
  <si>
    <t xml:space="preserve">4.78 (forest area)</t>
  </si>
  <si>
    <t xml:space="preserve">3/4 BHK (HIG)</t>
  </si>
  <si>
    <t xml:space="preserve">1900-2550 sq ft</t>
  </si>
  <si>
    <t xml:space="preserve">Miyawaki-technique forest area; low-density living</t>
  </si>
  <si>
    <t xml:space="preserve">ATS Homekraft Happy Trails</t>
  </si>
  <si>
    <t xml:space="preserve">Greater Noida</t>
  </si>
  <si>
    <t xml:space="preserve">Gated society</t>
  </si>
  <si>
    <t xml:space="preserve">ATS Dolce</t>
  </si>
  <si>
    <t xml:space="preserve">Sector Zeta-1, Greater Noida</t>
  </si>
  <si>
    <t xml:space="preserve">14</t>
  </si>
  <si>
    <t xml:space="preserve">1240-2800 sq ft</t>
  </si>
  <si>
    <t xml:space="preserve">7 km from Pari Chowk; near Knowledge Park &amp; Taj Yamuna Expressway</t>
  </si>
  <si>
    <t xml:space="preserve">ATS Allure</t>
  </si>
  <si>
    <t xml:space="preserve">Yamuna Expressway, Greater Noida</t>
  </si>
  <si>
    <t xml:space="preserve">Completed March 2021</t>
  </si>
  <si>
    <t xml:space="preserve">88.62K sq m central park</t>
  </si>
  <si>
    <t xml:space="preserve">Low-density lifestyle homes</t>
  </si>
  <si>
    <t xml:space="preserve">Experion Group</t>
  </si>
  <si>
    <t xml:space="preserve">Experion Elements</t>
  </si>
  <si>
    <t xml:space="preserve">Central Noida (Sector 45 area)</t>
  </si>
  <si>
    <t xml:space="preserve">UPRERAPRJ953234 (Ph.II)</t>
  </si>
  <si>
    <t xml:space="preserve">Grand Cineplex with large 4K LED screen &amp; Dolby; EV charging per unit</t>
  </si>
  <si>
    <t xml:space="preserve">Building plan approved Jan 2024</t>
  </si>
  <si>
    <t xml:space="preserve">Experion Saatori / Sector 151</t>
  </si>
  <si>
    <t xml:space="preserve">Sector 151, Noida</t>
  </si>
  <si>
    <t xml:space="preserve">5</t>
  </si>
  <si>
    <t xml:space="preserve">Soft launch; RERA registration underway</t>
  </si>
  <si>
    <t xml:space="preserve">Clubhouse, pool, gym, sports courts, smart home automation</t>
  </si>
  <si>
    <t xml:space="preserve">Godrej Group</t>
  </si>
  <si>
    <t xml:space="preserve">Godrej Golf Links (Exquisite / Windsor / Park Avenue / The Suites / Evoke)</t>
  </si>
  <si>
    <t xml:space="preserve">Sector 27, Greater Noida</t>
  </si>
  <si>
    <t xml:space="preserve">Windsor 114; Park Avenue 1158; The Suites 176</t>
  </si>
  <si>
    <t xml:space="preserve">2-4 BHK, villas (Evoke)</t>
  </si>
  <si>
    <t xml:space="preserve">Township within Godrej Golf Links; 4-6 km from Noida-GN &amp; Yamuna Expressways</t>
  </si>
  <si>
    <t xml:space="preserve">Godrej Arden</t>
  </si>
  <si>
    <t xml:space="preserve">Sigma 3, Greater Noida</t>
  </si>
  <si>
    <t xml:space="preserve">9.58</t>
  </si>
  <si>
    <t xml:space="preserve">9</t>
  </si>
  <si>
    <t xml:space="preserve">956</t>
  </si>
  <si>
    <t xml:space="preserve">730-1547 sq ft</t>
  </si>
  <si>
    <t xml:space="preserve">Godrej Majesty</t>
  </si>
  <si>
    <t xml:space="preserve">8</t>
  </si>
  <si>
    <t xml:space="preserve">1754-2575 sq ft</t>
  </si>
  <si>
    <t xml:space="preserve">From ₹2.91 Cr</t>
  </si>
  <si>
    <t xml:space="preserve">Massive clubhouse; green living focus</t>
  </si>
  <si>
    <t xml:space="preserve">Newly launched</t>
  </si>
  <si>
    <t xml:space="preserve">Godrej Woods</t>
  </si>
  <si>
    <t xml:space="preserve">Sector 43, Noida</t>
  </si>
  <si>
    <t xml:space="preserve">UPRERAPRJ13521</t>
  </si>
  <si>
    <t xml:space="preserve">Final phases by Jan 2027</t>
  </si>
  <si>
    <t xml:space="preserve">Forest-themed; partially ready</t>
  </si>
  <si>
    <t xml:space="preserve">Godrej Tropical Isle</t>
  </si>
  <si>
    <t xml:space="preserve">Sector 146, Noida</t>
  </si>
  <si>
    <t xml:space="preserve">UPRERAPRJ303390</t>
  </si>
  <si>
    <t xml:space="preserve">6.17</t>
  </si>
  <si>
    <t xml:space="preserve">1800-3250 sq ft</t>
  </si>
  <si>
    <t xml:space="preserve">From ₹3.26 Cr</t>
  </si>
  <si>
    <t xml:space="preserve">Launched late 2023; possession Feb 2030</t>
  </si>
  <si>
    <t xml:space="preserve">Floating clubhouse, beach decks (island theme)</t>
  </si>
  <si>
    <t xml:space="preserve">Godrej Palm Retreat 2</t>
  </si>
  <si>
    <t xml:space="preserve">385</t>
  </si>
  <si>
    <t xml:space="preserve">Godrej Nurture Phase 2</t>
  </si>
  <si>
    <t xml:space="preserve">456</t>
  </si>
  <si>
    <t xml:space="preserve">Affordable housing</t>
  </si>
  <si>
    <t xml:space="preserve">GYGY Group</t>
  </si>
  <si>
    <t xml:space="preserve">GYGY Mentis</t>
  </si>
  <si>
    <t xml:space="preserve">Sector 140, Noida</t>
  </si>
  <si>
    <t xml:space="preserve">UPRERAPRJ251909</t>
  </si>
  <si>
    <t xml:space="preserve">4.94-6 (sources vary)</t>
  </si>
  <si>
    <t xml:space="preserve">24+</t>
  </si>
  <si>
    <t xml:space="preserve">IT offices, retail, food court, anchor shops</t>
  </si>
  <si>
    <t xml:space="preserve">100-535 sq ft</t>
  </si>
  <si>
    <t xml:space="preserve">₹29.00L-42.80L</t>
  </si>
  <si>
    <t xml:space="preserve">Expected March 2028</t>
  </si>
  <si>
    <t xml:space="preserve">Swimming pool, gym, clubhouse, sky bar, cafe</t>
  </si>
  <si>
    <t xml:space="preserve">24 floors per tower; up to 12% assured returns cited</t>
  </si>
  <si>
    <t xml:space="preserve">GYGY FiveO</t>
  </si>
  <si>
    <t xml:space="preserve">Studio spaces, retail, cafes, restaurants, entertainment</t>
  </si>
  <si>
    <t xml:space="preserve">Near multiple metro stations</t>
  </si>
  <si>
    <t xml:space="preserve">EON Group</t>
  </si>
  <si>
    <t xml:space="preserve">Fairfox EON (Eye of Noida)</t>
  </si>
  <si>
    <t xml:space="preserve">UPRERAPRJ211016 (Block-A)</t>
  </si>
  <si>
    <t xml:space="preserve">13.65</t>
  </si>
  <si>
    <t xml:space="preserve">4</t>
  </si>
  <si>
    <t xml:space="preserve">Office spaces, retail shops, anchor spaces, food court, sky bar</t>
  </si>
  <si>
    <t xml:space="preserve">Office from ~₹55L; Retail from ~₹87L</t>
  </si>
  <si>
    <t xml:space="preserve">IGBC Gold rated; sustainable design</t>
  </si>
  <si>
    <t xml:space="preserve">15 floors per tower; developer: Fairfox IT Infra</t>
  </si>
  <si>
    <t xml:space="preserve">CRC Group</t>
  </si>
  <si>
    <t xml:space="preserve">The Peridona</t>
  </si>
  <si>
    <t xml:space="preserve">Jaypee Greens Golf Course, Greater Noida</t>
  </si>
  <si>
    <t xml:space="preserve">Ultra-luxury experiential residences</t>
  </si>
  <si>
    <t xml:space="preserve">Development outlay ~₹15 billion (excl. land); unveiled July 2025</t>
  </si>
  <si>
    <t xml:space="preserve">Purvanchal Group</t>
  </si>
  <si>
    <t xml:space="preserve">Purvanchal Royal City Phase I</t>
  </si>
  <si>
    <t xml:space="preserve">Sector Chi-5, Greater Noida</t>
  </si>
  <si>
    <t xml:space="preserve">UPRERAPRJ3137</t>
  </si>
  <si>
    <t xml:space="preserve">13.8</t>
  </si>
  <si>
    <t xml:space="preserve">17 (combined w/ Ph.2)</t>
  </si>
  <si>
    <t xml:space="preserve">3/4/5 BHK, duplexes</t>
  </si>
  <si>
    <t xml:space="preserve">1735-2075 sq ft (3BHK)</t>
  </si>
  <si>
    <t xml:space="preserve">₹1.80-3.34 Cr</t>
  </si>
  <si>
    <t xml:space="preserve">Launched Jun 2015; possession by Mar 2019</t>
  </si>
  <si>
    <t xml:space="preserve">100,000 sq ft clubhouse, 2 pools, gym, mini theatre, yoga zones</t>
  </si>
  <si>
    <t xml:space="preserve">Brick construction</t>
  </si>
  <si>
    <t xml:space="preserve">Purvanchal Royal City Phase II</t>
  </si>
  <si>
    <t xml:space="preserve">UPRERAPRJ295195</t>
  </si>
  <si>
    <t xml:space="preserve">8.8</t>
  </si>
  <si>
    <t xml:space="preserve">3 BHK &amp; 3BHK+1</t>
  </si>
  <si>
    <t xml:space="preserve">Started Feb 2019; delivered Dec 2023</t>
  </si>
  <si>
    <t xml:space="preserve">Mivan technology construction; 3,703 parking spaces; ~70% open area</t>
  </si>
  <si>
    <t xml:space="preserve">22 acres combined with Phase I</t>
  </si>
  <si>
    <t xml:space="preserve">Purvanchal Silver City II</t>
  </si>
  <si>
    <t xml:space="preserve">Purvanchal Heights</t>
  </si>
  <si>
    <t xml:space="preserve">Purvanchal Royal City II</t>
  </si>
  <si>
    <t xml:space="preserve">Sector Chi-V, Yamuna Expressway, Greater Noida</t>
  </si>
  <si>
    <t xml:space="preserve">1226</t>
  </si>
  <si>
    <t xml:space="preserve">₹1.14 Cr</t>
  </si>
  <si>
    <t xml:space="preserve">Construction status: Mid Stage</t>
  </si>
  <si>
    <t xml:space="preserve">ABA Corp</t>
  </si>
  <si>
    <t xml:space="preserve">Orange County</t>
  </si>
  <si>
    <t xml:space="preserve">Noida</t>
  </si>
  <si>
    <t xml:space="preserve">Flagship delivered project</t>
  </si>
  <si>
    <t xml:space="preserve">Cleo County</t>
  </si>
  <si>
    <t xml:space="preserve">Sector 121, Noida</t>
  </si>
  <si>
    <t xml:space="preserve">Clubhouse, swimming pool, landscaped gardens</t>
  </si>
  <si>
    <t xml:space="preserve">Rainwater harvesting, energy-efficient systems</t>
  </si>
  <si>
    <t xml:space="preserve">Cherry County</t>
  </si>
  <si>
    <t xml:space="preserve">891-2232 sq ft</t>
  </si>
  <si>
    <t xml:space="preserve">30-year legacy brand; also delivered Orange County &amp; Cleo County</t>
  </si>
  <si>
    <t xml:space="preserve">ACE Group</t>
  </si>
  <si>
    <t xml:space="preserve">ACE City / ACE Aspire / ACE Golfshire</t>
  </si>
  <si>
    <t xml:space="preserve">Delivered projects</t>
  </si>
  <si>
    <t xml:space="preserve">ACE Palm Floors</t>
  </si>
  <si>
    <t xml:space="preserve">Gurugram</t>
  </si>
  <si>
    <t xml:space="preserve">RC/REP/HARERA/GGM/439-449/2021</t>
  </si>
  <si>
    <t xml:space="preserve">50</t>
  </si>
  <si>
    <t xml:space="preserve">Plots &amp; floors</t>
  </si>
  <si>
    <t xml:space="preserve">50-acre township</t>
  </si>
  <si>
    <t xml:space="preserve">ACE Divino</t>
  </si>
  <si>
    <t xml:space="preserve">UPRERAPRJ6734</t>
  </si>
  <si>
    <t xml:space="preserve">10.41</t>
  </si>
  <si>
    <t xml:space="preserve">2/3/4 BHK, garden floors, penthouses</t>
  </si>
  <si>
    <t xml:space="preserve">75%+ open green space; MIVAN technology; 3-sided open plot</t>
  </si>
  <si>
    <t xml:space="preserve">Financed by Tata Capital Housing Finance</t>
  </si>
  <si>
    <t xml:space="preserve">ACE Parkway</t>
  </si>
  <si>
    <t xml:space="preserve">UPRERAPRJ4514</t>
  </si>
  <si>
    <t xml:space="preserve">Designed by Hafeez Contractor; interiors by Gauri Khan</t>
  </si>
  <si>
    <t xml:space="preserve">ACE Starlit</t>
  </si>
  <si>
    <t xml:space="preserve">Sector 152, Noida</t>
  </si>
  <si>
    <t xml:space="preserve">UPRERAPRJ677294</t>
  </si>
  <si>
    <t xml:space="preserve">6.79</t>
  </si>
  <si>
    <t xml:space="preserve">492</t>
  </si>
  <si>
    <t xml:space="preserve">2BHK from ₹1.25 Cr</t>
  </si>
  <si>
    <t xml:space="preserve">80% green area; corner plot</t>
  </si>
  <si>
    <t xml:space="preserve">5 towers of 26 floors each; ready to move</t>
  </si>
  <si>
    <t xml:space="preserve">ACE Terra</t>
  </si>
  <si>
    <t xml:space="preserve">Noida / Greater Noida</t>
  </si>
  <si>
    <t xml:space="preserve">UPRERAPRJ683816</t>
  </si>
  <si>
    <t xml:space="preserve">ACE Han'ei</t>
  </si>
  <si>
    <t xml:space="preserve">UPRERAPRJ677887</t>
  </si>
  <si>
    <t xml:space="preserve">ACE Estate</t>
  </si>
  <si>
    <t xml:space="preserve">UPRERAPRJ442226</t>
  </si>
  <si>
    <t xml:space="preserve">ACE Acreville</t>
  </si>
  <si>
    <t xml:space="preserve">UPRERAPRJ248777</t>
  </si>
  <si>
    <t xml:space="preserve">RERA registered March 2025</t>
  </si>
  <si>
    <t xml:space="preserve">ACE Verde</t>
  </si>
  <si>
    <t xml:space="preserve">Sector 22A, Yamuna Expressway, Greater Noida</t>
  </si>
  <si>
    <t xml:space="preserve">UPRERAPRJ913692</t>
  </si>
  <si>
    <t xml:space="preserve">7</t>
  </si>
  <si>
    <t xml:space="preserve">1287</t>
  </si>
  <si>
    <t xml:space="preserve">3 BHK</t>
  </si>
  <si>
    <t xml:space="preserve">From 1818 sq ft</t>
  </si>
  <si>
    <t xml:space="preserve">Low-density, 7 towers</t>
  </si>
  <si>
    <t xml:space="preserve">ACE-Mahagun Medalleo</t>
  </si>
  <si>
    <t xml:space="preserve">UPRERAPRJ125561</t>
  </si>
  <si>
    <t xml:space="preserve">ACE Hive</t>
  </si>
  <si>
    <t xml:space="preserve">Sector 22A, Yamuna Expressway</t>
  </si>
  <si>
    <t xml:space="preserve">UPRERAPRJ939595</t>
  </si>
  <si>
    <t xml:space="preserve">ACE YXP</t>
  </si>
  <si>
    <t xml:space="preserve">Sector 22D, Yamuna Expressway</t>
  </si>
  <si>
    <t xml:space="preserve">UPRERAPRJ397607</t>
  </si>
  <si>
    <t xml:space="preserve">Near Jewar International Airport</t>
  </si>
  <si>
    <t xml:space="preserve">ACE 153</t>
  </si>
  <si>
    <t xml:space="preserve">Sector 153, Noida</t>
  </si>
  <si>
    <t xml:space="preserve">UPRERAPRJ423807</t>
  </si>
  <si>
    <t xml:space="preserve">ACE Capitol</t>
  </si>
  <si>
    <t xml:space="preserve">Sector 132, Noida Expressway</t>
  </si>
  <si>
    <t xml:space="preserve">ACE Edit</t>
  </si>
  <si>
    <t xml:space="preserve">UPRERAPRJ467686</t>
  </si>
  <si>
    <t xml:space="preserve">RERA registered Sept 2025</t>
  </si>
  <si>
    <t xml:space="preserve">ACE Medley Avenue</t>
  </si>
  <si>
    <t xml:space="preserve">UPRERAPRJ348653</t>
  </si>
  <si>
    <t xml:space="preserve">Prestige Group</t>
  </si>
  <si>
    <t xml:space="preserve">Prestige Sector 150, Noida Expressway</t>
  </si>
  <si>
    <t xml:space="preserve">14.83</t>
  </si>
  <si>
    <t xml:space="preserve">1300-5200 sq ft</t>
  </si>
  <si>
    <t xml:space="preserve">First Prestige Group project in Noida</t>
  </si>
  <si>
    <t xml:space="preserve">Prestige Sector 62, Noida</t>
  </si>
  <si>
    <t xml:space="preserve">Announced new launch</t>
  </si>
  <si>
    <t xml:space="preserve">Gaursons Group</t>
  </si>
  <si>
    <t xml:space="preserve">Gaur City (Sector 4)</t>
  </si>
  <si>
    <t xml:space="preserve">Sector 4, Greater Noida West</t>
  </si>
  <si>
    <t xml:space="preserve">125</t>
  </si>
  <si>
    <t xml:space="preserve">2 BHK</t>
  </si>
  <si>
    <t xml:space="preserve">1075-1165 sq ft</t>
  </si>
  <si>
    <t xml:space="preserve">₹40.31L-43.68L</t>
  </si>
  <si>
    <t xml:space="preserve">Flagship township</t>
  </si>
  <si>
    <t xml:space="preserve">Gaur City 2 - 14th Avenue</t>
  </si>
  <si>
    <t xml:space="preserve">UPRERAPRJ6742</t>
  </si>
  <si>
    <t xml:space="preserve">From ₹95L</t>
  </si>
  <si>
    <t xml:space="preserve">Gaur City - 7th Avenue</t>
  </si>
  <si>
    <t xml:space="preserve">UPRERAPRJ6695</t>
  </si>
  <si>
    <t xml:space="preserve">From ₹90L</t>
  </si>
  <si>
    <t xml:space="preserve">Gaur Yamuna City (16th/32nd Park View, Villas)</t>
  </si>
  <si>
    <t xml:space="preserve">Yamuna Expressway</t>
  </si>
  <si>
    <t xml:space="preserve">Apartments, villas, independent floors</t>
  </si>
  <si>
    <t xml:space="preserve">Supreme Court monitored housing project</t>
  </si>
  <si>
    <t xml:space="preserve">Gaur Atulyam</t>
  </si>
  <si>
    <t xml:space="preserve">Techzone 4, Greater Noida</t>
  </si>
  <si>
    <t xml:space="preserve">Gaur City Center</t>
  </si>
  <si>
    <t xml:space="preserve">UPRERAPRJ4780</t>
  </si>
  <si>
    <t xml:space="preserve">Residential + retail</t>
  </si>
  <si>
    <t xml:space="preserve">From ₹45L</t>
  </si>
  <si>
    <t xml:space="preserve">Gaur City Mall (Office Spaces / Gaur Suites)</t>
  </si>
  <si>
    <t xml:space="preserve">Gaur Chowk, Greater Noida West</t>
  </si>
  <si>
    <t xml:space="preserve">UPRERAPRJ6934</t>
  </si>
  <si>
    <t xml:space="preserve">Office space, serviced suites</t>
  </si>
  <si>
    <t xml:space="preserve">Office from ₹25L; Suites from ₹62L</t>
  </si>
  <si>
    <t xml:space="preserve">Gaur Chowk Mall</t>
  </si>
  <si>
    <t xml:space="preserve">Retail (leasing)</t>
  </si>
  <si>
    <t xml:space="preserve">Leasing option available</t>
  </si>
  <si>
    <t xml:space="preserve">Gaur Green City / Heights / Green Avenue / Green Vista / Homes / Ganga / Grandeur / Global Village / Cascades</t>
  </si>
  <si>
    <t xml:space="preserve">Noida / Ghaziabad / Greater Noida</t>
  </si>
  <si>
    <t xml:space="preserve">Delivered legacy portfolio (65+ projects delivered group-wide)</t>
  </si>
  <si>
    <t xml:space="preserve">Total Projects Listed</t>
  </si>
  <si>
    <t xml:space="preserve">Source &amp; methodology</t>
  </si>
  <si>
    <t xml:space="preserve">- Compiled from public listings (developer websites, RERA-linked project pages, and portals such as 99acres, Square Yards, WhiteHat Realty, 360PropGuide, CommercialNoida) as of Aug 2026.</t>
  </si>
  <si>
    <t xml:space="preserve">- Blank cells mean that detail wasn't stated in the sources found — not that it's zero. Fill in from the developer's brochure/RERA filing where needed.</t>
  </si>
  <si>
    <t xml:space="preserve">- 'Status' reflects the most recently stated construction/possession status; large multi-phase projects show the status of their active/latest phase.</t>
  </si>
  <si>
    <t xml:space="preserve">- Some rows group several related sub-projects under one entry (e.g. Godrej Golf Links towers, delivered Gaursons legacy portfolio) — split into one row per RERA registration if your site needs that granularity.</t>
  </si>
  <si>
    <t xml:space="preserve">- Price ranges, unit counts and areas are as published at time of research and can shift — treat as indicative, not final.</t>
  </si>
  <si>
    <t xml:space="preserve">- Images were not included: bulk-downloading/redistributing developer marketing photos raises copyright issues, and this environment has no general internet file-download access. Request an official image pack from each developer's marketing team, or license renders/stock instead.</t>
  </si>
  <si>
    <t xml:space="preserve">- Verify RERA numbers, unit counts and possession dates directly on https://www.up-rera.in/projects before publishing on the website.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</si>
</sst>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40"/>
    <col collapsed="false" customWidth="true" hidden="false" outlineLevel="0" max="16" min="16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21</v>
      </c>
      <c r="D3" s="2" t="s">
        <v>22</v>
      </c>
      <c r="E3" s="2" t="s">
        <v>19</v>
      </c>
      <c r="F3" s="3" t="s">
        <v>20</v>
      </c>
      <c r="G3" s="2"/>
      <c r="H3" s="2"/>
      <c r="I3" s="2"/>
      <c r="J3" s="2" t="s">
        <v>23</v>
      </c>
      <c r="K3" s="2"/>
      <c r="L3" s="2"/>
      <c r="M3" s="2"/>
      <c r="N3" s="2"/>
      <c r="O3" s="2" t="s">
        <v>24</v>
      </c>
      <c r="P3" s="2"/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25</v>
      </c>
      <c r="D4" s="2" t="s">
        <v>22</v>
      </c>
      <c r="E4" s="2" t="s">
        <v>19</v>
      </c>
      <c r="F4" s="4" t="s">
        <v>26</v>
      </c>
      <c r="G4" s="2"/>
      <c r="H4" s="2"/>
      <c r="I4" s="2"/>
      <c r="J4" s="2" t="s">
        <v>27</v>
      </c>
      <c r="K4" s="2"/>
      <c r="L4" s="2"/>
      <c r="M4" s="2"/>
      <c r="N4" s="2"/>
      <c r="O4" s="2"/>
      <c r="P4" s="2"/>
    </row>
    <row r="5" customFormat="false" ht="35.05" hidden="false" customHeight="false" outlineLevel="0" collapsed="false">
      <c r="A5" s="2" t="n">
        <v>4</v>
      </c>
      <c r="B5" s="2" t="s">
        <v>16</v>
      </c>
      <c r="C5" s="2" t="s">
        <v>28</v>
      </c>
      <c r="D5" s="2" t="s">
        <v>29</v>
      </c>
      <c r="E5" s="2" t="s">
        <v>19</v>
      </c>
      <c r="F5" s="4" t="s">
        <v>26</v>
      </c>
      <c r="G5" s="2"/>
      <c r="H5" s="2" t="s">
        <v>30</v>
      </c>
      <c r="I5" s="2"/>
      <c r="J5" s="2"/>
      <c r="K5" s="2" t="s">
        <v>31</v>
      </c>
      <c r="L5" s="2"/>
      <c r="M5" s="2"/>
      <c r="N5" s="2"/>
      <c r="O5" s="2" t="s">
        <v>32</v>
      </c>
      <c r="P5" s="2" t="s">
        <v>33</v>
      </c>
    </row>
    <row r="6" customFormat="false" ht="35.05" hidden="false" customHeight="false" outlineLevel="0" collapsed="false">
      <c r="A6" s="2" t="n">
        <v>5</v>
      </c>
      <c r="B6" s="2" t="s">
        <v>16</v>
      </c>
      <c r="C6" s="2" t="s">
        <v>34</v>
      </c>
      <c r="D6" s="2" t="s">
        <v>35</v>
      </c>
      <c r="E6" s="2" t="s">
        <v>19</v>
      </c>
      <c r="F6" s="4" t="s">
        <v>26</v>
      </c>
      <c r="G6" s="2"/>
      <c r="H6" s="2" t="s">
        <v>36</v>
      </c>
      <c r="I6" s="2" t="s">
        <v>37</v>
      </c>
      <c r="J6" s="2" t="s">
        <v>38</v>
      </c>
      <c r="K6" s="2" t="s">
        <v>39</v>
      </c>
      <c r="L6" s="2"/>
      <c r="M6" s="2" t="s">
        <v>40</v>
      </c>
      <c r="N6" s="2" t="s">
        <v>41</v>
      </c>
      <c r="O6" s="2" t="s">
        <v>42</v>
      </c>
      <c r="P6" s="2"/>
    </row>
    <row r="7" customFormat="false" ht="15" hidden="false" customHeight="false" outlineLevel="0" collapsed="false">
      <c r="A7" s="2" t="n">
        <v>6</v>
      </c>
      <c r="B7" s="2" t="s">
        <v>16</v>
      </c>
      <c r="C7" s="2" t="s">
        <v>43</v>
      </c>
      <c r="D7" s="2" t="s">
        <v>44</v>
      </c>
      <c r="E7" s="2" t="s">
        <v>19</v>
      </c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45</v>
      </c>
      <c r="D8" s="2" t="s">
        <v>46</v>
      </c>
      <c r="E8" s="2" t="s">
        <v>19</v>
      </c>
      <c r="F8" s="5" t="s">
        <v>47</v>
      </c>
      <c r="G8" s="2"/>
      <c r="H8" s="2"/>
      <c r="I8" s="2"/>
      <c r="J8" s="2"/>
      <c r="K8" s="2" t="s">
        <v>31</v>
      </c>
      <c r="L8" s="2"/>
      <c r="M8" s="2"/>
      <c r="N8" s="2"/>
      <c r="O8" s="2" t="s">
        <v>48</v>
      </c>
      <c r="P8" s="2"/>
    </row>
    <row r="9" customFormat="false" ht="15" hidden="false" customHeight="false" outlineLevel="0" collapsed="false">
      <c r="A9" s="2" t="n">
        <v>8</v>
      </c>
      <c r="B9" s="2" t="s">
        <v>49</v>
      </c>
      <c r="C9" s="2" t="s">
        <v>50</v>
      </c>
      <c r="D9" s="2" t="s">
        <v>51</v>
      </c>
      <c r="E9" s="2" t="s">
        <v>19</v>
      </c>
      <c r="F9" s="4" t="s">
        <v>26</v>
      </c>
      <c r="G9" s="2"/>
      <c r="H9" s="2"/>
      <c r="I9" s="2"/>
      <c r="J9" s="2"/>
      <c r="K9" s="2" t="s">
        <v>52</v>
      </c>
      <c r="L9" s="2"/>
      <c r="M9" s="2"/>
      <c r="N9" s="2" t="s">
        <v>53</v>
      </c>
      <c r="O9" s="2" t="s">
        <v>54</v>
      </c>
      <c r="P9" s="2" t="s">
        <v>55</v>
      </c>
    </row>
    <row r="10" customFormat="false" ht="15" hidden="false" customHeight="false" outlineLevel="0" collapsed="false">
      <c r="A10" s="2" t="n">
        <v>9</v>
      </c>
      <c r="B10" s="2" t="s">
        <v>49</v>
      </c>
      <c r="C10" s="2" t="s">
        <v>56</v>
      </c>
      <c r="D10" s="2" t="s">
        <v>57</v>
      </c>
      <c r="E10" s="2" t="s">
        <v>19</v>
      </c>
      <c r="F10" s="4" t="s">
        <v>26</v>
      </c>
      <c r="G10" s="2"/>
      <c r="H10" s="2"/>
      <c r="I10" s="2"/>
      <c r="J10" s="2"/>
      <c r="K10" s="2" t="s">
        <v>31</v>
      </c>
      <c r="L10" s="2"/>
      <c r="M10" s="2"/>
      <c r="N10" s="2"/>
      <c r="O10" s="2"/>
      <c r="P10" s="2"/>
    </row>
    <row r="11" customFormat="false" ht="15" hidden="false" customHeight="false" outlineLevel="0" collapsed="false">
      <c r="A11" s="2" t="n">
        <v>10</v>
      </c>
      <c r="B11" s="2" t="s">
        <v>49</v>
      </c>
      <c r="C11" s="2" t="s">
        <v>58</v>
      </c>
      <c r="D11" s="2" t="s">
        <v>59</v>
      </c>
      <c r="E11" s="2" t="s">
        <v>60</v>
      </c>
      <c r="F11" s="5" t="s">
        <v>47</v>
      </c>
      <c r="G11" s="2"/>
      <c r="H11" s="2"/>
      <c r="I11" s="2"/>
      <c r="J11" s="2"/>
      <c r="K11" s="2" t="s">
        <v>61</v>
      </c>
      <c r="L11" s="2"/>
      <c r="M11" s="2"/>
      <c r="N11" s="2"/>
      <c r="O11" s="2" t="s">
        <v>62</v>
      </c>
      <c r="P11" s="2"/>
    </row>
    <row r="12" customFormat="false" ht="23.85" hidden="false" customHeight="false" outlineLevel="0" collapsed="false">
      <c r="A12" s="2" t="n">
        <v>11</v>
      </c>
      <c r="B12" s="2" t="s">
        <v>63</v>
      </c>
      <c r="C12" s="2" t="s">
        <v>64</v>
      </c>
      <c r="D12" s="2" t="s">
        <v>65</v>
      </c>
      <c r="E12" s="2" t="s">
        <v>66</v>
      </c>
      <c r="F12" s="3" t="s">
        <v>20</v>
      </c>
      <c r="G12" s="2" t="s">
        <v>67</v>
      </c>
      <c r="H12" s="2" t="s">
        <v>68</v>
      </c>
      <c r="I12" s="2" t="s">
        <v>69</v>
      </c>
      <c r="J12" s="2" t="s">
        <v>70</v>
      </c>
      <c r="K12" s="2" t="s">
        <v>71</v>
      </c>
      <c r="L12" s="2" t="s">
        <v>72</v>
      </c>
      <c r="M12" s="2" t="s">
        <v>73</v>
      </c>
      <c r="N12" s="2" t="s">
        <v>74</v>
      </c>
      <c r="O12" s="2" t="s">
        <v>75</v>
      </c>
      <c r="P12" s="2" t="s">
        <v>76</v>
      </c>
    </row>
    <row r="13" customFormat="false" ht="23.85" hidden="false" customHeight="false" outlineLevel="0" collapsed="false">
      <c r="A13" s="2" t="n">
        <v>12</v>
      </c>
      <c r="B13" s="2" t="s">
        <v>77</v>
      </c>
      <c r="C13" s="2" t="s">
        <v>78</v>
      </c>
      <c r="D13" s="2" t="s">
        <v>79</v>
      </c>
      <c r="E13" s="2" t="s">
        <v>60</v>
      </c>
      <c r="F13" s="3" t="s">
        <v>20</v>
      </c>
      <c r="G13" s="2"/>
      <c r="H13" s="2"/>
      <c r="I13" s="2" t="s">
        <v>80</v>
      </c>
      <c r="J13" s="2"/>
      <c r="K13" s="2" t="s">
        <v>81</v>
      </c>
      <c r="L13" s="2"/>
      <c r="M13" s="2"/>
      <c r="N13" s="2"/>
      <c r="O13" s="2" t="s">
        <v>82</v>
      </c>
      <c r="P13" s="2"/>
    </row>
    <row r="14" customFormat="false" ht="23.85" hidden="false" customHeight="false" outlineLevel="0" collapsed="false">
      <c r="A14" s="2" t="n">
        <v>13</v>
      </c>
      <c r="B14" s="2" t="s">
        <v>77</v>
      </c>
      <c r="C14" s="2" t="s">
        <v>83</v>
      </c>
      <c r="D14" s="2" t="s">
        <v>84</v>
      </c>
      <c r="E14" s="2" t="s">
        <v>60</v>
      </c>
      <c r="F14" s="3" t="s">
        <v>20</v>
      </c>
      <c r="G14" s="2"/>
      <c r="H14" s="2"/>
      <c r="I14" s="2"/>
      <c r="J14" s="2"/>
      <c r="K14" s="2" t="s">
        <v>85</v>
      </c>
      <c r="L14" s="2"/>
      <c r="M14" s="2"/>
      <c r="N14" s="2"/>
      <c r="O14" s="2"/>
      <c r="P14" s="2"/>
    </row>
    <row r="15" customFormat="false" ht="23.85" hidden="false" customHeight="false" outlineLevel="0" collapsed="false">
      <c r="A15" s="2" t="n">
        <v>14</v>
      </c>
      <c r="B15" s="2" t="s">
        <v>77</v>
      </c>
      <c r="C15" s="2" t="s">
        <v>86</v>
      </c>
      <c r="D15" s="2" t="s">
        <v>87</v>
      </c>
      <c r="E15" s="2" t="s">
        <v>60</v>
      </c>
      <c r="F15" s="3" t="s">
        <v>20</v>
      </c>
      <c r="G15" s="2"/>
      <c r="H15" s="2"/>
      <c r="I15" s="2"/>
      <c r="J15" s="2"/>
      <c r="K15" s="2" t="s">
        <v>88</v>
      </c>
      <c r="L15" s="2"/>
      <c r="M15" s="2"/>
      <c r="N15" s="2"/>
      <c r="O15" s="2" t="s">
        <v>89</v>
      </c>
      <c r="P15" s="2" t="s">
        <v>90</v>
      </c>
    </row>
    <row r="16" customFormat="false" ht="23.85" hidden="false" customHeight="false" outlineLevel="0" collapsed="false">
      <c r="A16" s="2" t="n">
        <v>15</v>
      </c>
      <c r="B16" s="2" t="s">
        <v>77</v>
      </c>
      <c r="C16" s="2" t="s">
        <v>91</v>
      </c>
      <c r="D16" s="2" t="s">
        <v>92</v>
      </c>
      <c r="E16" s="2" t="s">
        <v>60</v>
      </c>
      <c r="F16" s="3" t="s">
        <v>20</v>
      </c>
      <c r="G16" s="2"/>
      <c r="H16" s="2"/>
      <c r="I16" s="2"/>
      <c r="J16" s="2"/>
      <c r="K16" s="2" t="s">
        <v>93</v>
      </c>
      <c r="L16" s="2"/>
      <c r="M16" s="2"/>
      <c r="N16" s="2"/>
      <c r="O16" s="2" t="s">
        <v>94</v>
      </c>
      <c r="P16" s="2" t="s">
        <v>95</v>
      </c>
    </row>
    <row r="17" customFormat="false" ht="15" hidden="false" customHeight="false" outlineLevel="0" collapsed="false">
      <c r="A17" s="2" t="n">
        <v>16</v>
      </c>
      <c r="B17" s="2" t="s">
        <v>77</v>
      </c>
      <c r="C17" s="2" t="s">
        <v>96</v>
      </c>
      <c r="D17" s="2" t="s">
        <v>97</v>
      </c>
      <c r="E17" s="2" t="s">
        <v>98</v>
      </c>
      <c r="F17" s="3" t="s">
        <v>20</v>
      </c>
      <c r="G17" s="2"/>
      <c r="H17" s="2"/>
      <c r="I17" s="2"/>
      <c r="J17" s="2" t="s">
        <v>99</v>
      </c>
      <c r="K17" s="2" t="s">
        <v>100</v>
      </c>
      <c r="L17" s="2" t="s">
        <v>101</v>
      </c>
      <c r="M17" s="2"/>
      <c r="N17" s="2"/>
      <c r="O17" s="2" t="s">
        <v>102</v>
      </c>
      <c r="P17" s="2" t="s">
        <v>103</v>
      </c>
    </row>
    <row r="18" customFormat="false" ht="23.85" hidden="false" customHeight="false" outlineLevel="0" collapsed="false">
      <c r="A18" s="2" t="n">
        <v>17</v>
      </c>
      <c r="B18" s="2" t="s">
        <v>77</v>
      </c>
      <c r="C18" s="2" t="s">
        <v>104</v>
      </c>
      <c r="D18" s="2" t="s">
        <v>105</v>
      </c>
      <c r="E18" s="2" t="s">
        <v>60</v>
      </c>
      <c r="F18" s="4" t="s">
        <v>26</v>
      </c>
      <c r="G18" s="2"/>
      <c r="H18" s="2"/>
      <c r="I18" s="2"/>
      <c r="J18" s="2"/>
      <c r="K18" s="2" t="s">
        <v>106</v>
      </c>
      <c r="L18" s="2"/>
      <c r="M18" s="2"/>
      <c r="N18" s="2"/>
      <c r="O18" s="2"/>
      <c r="P18" s="2"/>
    </row>
    <row r="19" customFormat="false" ht="23.85" hidden="false" customHeight="false" outlineLevel="0" collapsed="false">
      <c r="A19" s="2" t="n">
        <v>18</v>
      </c>
      <c r="B19" s="2" t="s">
        <v>107</v>
      </c>
      <c r="C19" s="2" t="s">
        <v>108</v>
      </c>
      <c r="D19" s="2" t="s">
        <v>92</v>
      </c>
      <c r="E19" s="2" t="s">
        <v>60</v>
      </c>
      <c r="F19" s="3" t="s">
        <v>20</v>
      </c>
      <c r="G19" s="2"/>
      <c r="H19" s="2"/>
      <c r="I19" s="2"/>
      <c r="J19" s="2"/>
      <c r="K19" s="2"/>
      <c r="L19" s="2"/>
      <c r="M19" s="2"/>
      <c r="N19" s="2"/>
      <c r="O19" s="2" t="s">
        <v>109</v>
      </c>
      <c r="P19" s="2"/>
    </row>
    <row r="20" customFormat="false" ht="23.85" hidden="false" customHeight="false" outlineLevel="0" collapsed="false">
      <c r="A20" s="2" t="n">
        <v>19</v>
      </c>
      <c r="B20" s="2" t="s">
        <v>107</v>
      </c>
      <c r="C20" s="2" t="s">
        <v>110</v>
      </c>
      <c r="D20" s="2" t="s">
        <v>57</v>
      </c>
      <c r="E20" s="2" t="s">
        <v>111</v>
      </c>
      <c r="F20" s="4" t="s">
        <v>26</v>
      </c>
      <c r="G20" s="2"/>
      <c r="H20" s="2"/>
      <c r="I20" s="2"/>
      <c r="J20" s="2"/>
      <c r="K20" s="2" t="s">
        <v>112</v>
      </c>
      <c r="L20" s="2"/>
      <c r="M20" s="2"/>
      <c r="N20" s="2"/>
      <c r="O20" s="2" t="s">
        <v>113</v>
      </c>
      <c r="P20" s="2"/>
    </row>
    <row r="21" customFormat="false" ht="23.85" hidden="false" customHeight="false" outlineLevel="0" collapsed="false">
      <c r="A21" s="2" t="n">
        <v>20</v>
      </c>
      <c r="B21" s="2" t="s">
        <v>107</v>
      </c>
      <c r="C21" s="2" t="s">
        <v>114</v>
      </c>
      <c r="D21" s="2" t="s">
        <v>115</v>
      </c>
      <c r="E21" s="2" t="s">
        <v>60</v>
      </c>
      <c r="F21" s="5" t="s">
        <v>47</v>
      </c>
      <c r="G21" s="2" t="s">
        <v>116</v>
      </c>
      <c r="H21" s="2" t="s">
        <v>117</v>
      </c>
      <c r="I21" s="2"/>
      <c r="J21" s="2"/>
      <c r="K21" s="2" t="s">
        <v>118</v>
      </c>
      <c r="L21" s="2"/>
      <c r="M21" s="2" t="s">
        <v>119</v>
      </c>
      <c r="N21" s="2" t="s">
        <v>120</v>
      </c>
      <c r="O21" s="2" t="s">
        <v>121</v>
      </c>
      <c r="P21" s="2" t="s">
        <v>122</v>
      </c>
    </row>
    <row r="22" customFormat="false" ht="15" hidden="false" customHeight="false" outlineLevel="0" collapsed="false">
      <c r="A22" s="2" t="n">
        <v>21</v>
      </c>
      <c r="B22" s="2" t="s">
        <v>123</v>
      </c>
      <c r="C22" s="2" t="s">
        <v>124</v>
      </c>
      <c r="D22" s="2" t="s">
        <v>125</v>
      </c>
      <c r="E22" s="2" t="s">
        <v>19</v>
      </c>
      <c r="F22" s="4" t="s">
        <v>26</v>
      </c>
      <c r="G22" s="2"/>
      <c r="H22" s="2"/>
      <c r="I22" s="2"/>
      <c r="J22" s="2"/>
      <c r="K22" s="2"/>
      <c r="L22" s="2"/>
      <c r="M22" s="2"/>
      <c r="N22" s="2" t="s">
        <v>126</v>
      </c>
      <c r="O22" s="2" t="s">
        <v>127</v>
      </c>
      <c r="P22" s="2" t="s">
        <v>128</v>
      </c>
    </row>
    <row r="23" customFormat="false" ht="15" hidden="false" customHeight="false" outlineLevel="0" collapsed="false">
      <c r="A23" s="2" t="n">
        <v>22</v>
      </c>
      <c r="B23" s="2" t="s">
        <v>123</v>
      </c>
      <c r="C23" s="2" t="s">
        <v>129</v>
      </c>
      <c r="D23" s="2" t="s">
        <v>57</v>
      </c>
      <c r="E23" s="2" t="s">
        <v>19</v>
      </c>
      <c r="F23" s="4" t="s">
        <v>26</v>
      </c>
      <c r="G23" s="2"/>
      <c r="H23" s="2"/>
      <c r="I23" s="2"/>
      <c r="J23" s="2"/>
      <c r="K23" s="2" t="s">
        <v>130</v>
      </c>
      <c r="L23" s="2"/>
      <c r="M23" s="2"/>
      <c r="N23" s="2"/>
      <c r="O23" s="2"/>
      <c r="P23" s="2"/>
    </row>
    <row r="24" customFormat="false" ht="23.85" hidden="false" customHeight="false" outlineLevel="0" collapsed="false">
      <c r="A24" s="2" t="n">
        <v>23</v>
      </c>
      <c r="B24" s="2" t="s">
        <v>123</v>
      </c>
      <c r="C24" s="2" t="s">
        <v>131</v>
      </c>
      <c r="D24" s="2" t="s">
        <v>132</v>
      </c>
      <c r="E24" s="2" t="s">
        <v>19</v>
      </c>
      <c r="F24" s="3" t="s">
        <v>20</v>
      </c>
      <c r="G24" s="2"/>
      <c r="H24" s="2"/>
      <c r="I24" s="2"/>
      <c r="J24" s="2"/>
      <c r="K24" s="2" t="s">
        <v>39</v>
      </c>
      <c r="L24" s="2"/>
      <c r="M24" s="2"/>
      <c r="N24" s="2" t="s">
        <v>133</v>
      </c>
      <c r="O24" s="2" t="s">
        <v>134</v>
      </c>
      <c r="P24" s="2" t="s">
        <v>135</v>
      </c>
    </row>
    <row r="25" customFormat="false" ht="15" hidden="false" customHeight="false" outlineLevel="0" collapsed="false">
      <c r="A25" s="2" t="n">
        <v>24</v>
      </c>
      <c r="B25" s="2" t="s">
        <v>123</v>
      </c>
      <c r="C25" s="2" t="s">
        <v>136</v>
      </c>
      <c r="D25" s="2" t="s">
        <v>137</v>
      </c>
      <c r="E25" s="2" t="s">
        <v>19</v>
      </c>
      <c r="F25" s="3" t="s">
        <v>20</v>
      </c>
      <c r="G25" s="2"/>
      <c r="H25" s="2"/>
      <c r="I25" s="2"/>
      <c r="J25" s="2"/>
      <c r="K25" s="2" t="s">
        <v>39</v>
      </c>
      <c r="L25" s="2"/>
      <c r="M25" s="2"/>
      <c r="N25" s="2"/>
      <c r="O25" s="2"/>
      <c r="P25" s="2"/>
    </row>
    <row r="26" customFormat="false" ht="23.85" hidden="false" customHeight="false" outlineLevel="0" collapsed="false">
      <c r="A26" s="2" t="n">
        <v>25</v>
      </c>
      <c r="B26" s="2" t="s">
        <v>123</v>
      </c>
      <c r="C26" s="2" t="s">
        <v>138</v>
      </c>
      <c r="D26" s="2" t="s">
        <v>137</v>
      </c>
      <c r="E26" s="2" t="s">
        <v>19</v>
      </c>
      <c r="F26" s="5" t="s">
        <v>47</v>
      </c>
      <c r="G26" s="2"/>
      <c r="H26" s="2"/>
      <c r="I26" s="2"/>
      <c r="J26" s="2"/>
      <c r="K26" s="2" t="s">
        <v>39</v>
      </c>
      <c r="L26" s="2"/>
      <c r="M26" s="2"/>
      <c r="N26" s="2"/>
      <c r="O26" s="2" t="s">
        <v>139</v>
      </c>
      <c r="P26" s="2"/>
    </row>
    <row r="27" customFormat="false" ht="15" hidden="false" customHeight="false" outlineLevel="0" collapsed="false">
      <c r="A27" s="2" t="n">
        <v>26</v>
      </c>
      <c r="B27" s="2" t="s">
        <v>123</v>
      </c>
      <c r="C27" s="2" t="s">
        <v>140</v>
      </c>
      <c r="D27" s="2" t="s">
        <v>141</v>
      </c>
      <c r="E27" s="2" t="s">
        <v>19</v>
      </c>
      <c r="F27" s="3" t="s">
        <v>20</v>
      </c>
      <c r="G27" s="2"/>
      <c r="H27" s="2"/>
      <c r="I27" s="2"/>
      <c r="J27" s="2"/>
      <c r="K27" s="2" t="s">
        <v>39</v>
      </c>
      <c r="L27" s="2"/>
      <c r="M27" s="2"/>
      <c r="N27" s="2"/>
      <c r="O27" s="2" t="s">
        <v>142</v>
      </c>
      <c r="P27" s="2"/>
    </row>
    <row r="28" customFormat="false" ht="15" hidden="false" customHeight="false" outlineLevel="0" collapsed="false">
      <c r="A28" s="2" t="n">
        <v>27</v>
      </c>
      <c r="B28" s="2" t="s">
        <v>123</v>
      </c>
      <c r="C28" s="2" t="s">
        <v>143</v>
      </c>
      <c r="D28" s="2" t="s">
        <v>144</v>
      </c>
      <c r="E28" s="2" t="s">
        <v>19</v>
      </c>
      <c r="F28" s="3" t="s">
        <v>20</v>
      </c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 t="n">
        <v>28</v>
      </c>
      <c r="B29" s="2" t="s">
        <v>123</v>
      </c>
      <c r="C29" s="2" t="s">
        <v>145</v>
      </c>
      <c r="D29" s="2" t="s">
        <v>146</v>
      </c>
      <c r="E29" s="2" t="s">
        <v>60</v>
      </c>
      <c r="F29" s="3" t="s">
        <v>20</v>
      </c>
      <c r="G29" s="2"/>
      <c r="H29" s="2"/>
      <c r="I29" s="2"/>
      <c r="J29" s="2"/>
      <c r="K29" s="2"/>
      <c r="L29" s="2"/>
      <c r="M29" s="2"/>
      <c r="N29" s="2"/>
      <c r="O29" s="2" t="s">
        <v>147</v>
      </c>
      <c r="P29" s="2"/>
    </row>
    <row r="30" customFormat="false" ht="23.85" hidden="false" customHeight="false" outlineLevel="0" collapsed="false">
      <c r="A30" s="2" t="n">
        <v>29</v>
      </c>
      <c r="B30" s="2" t="s">
        <v>148</v>
      </c>
      <c r="C30" s="2" t="s">
        <v>149</v>
      </c>
      <c r="D30" s="2" t="s">
        <v>150</v>
      </c>
      <c r="E30" s="2" t="s">
        <v>19</v>
      </c>
      <c r="F30" s="3" t="s">
        <v>20</v>
      </c>
      <c r="G30" s="2"/>
      <c r="H30" s="2" t="s">
        <v>151</v>
      </c>
      <c r="I30" s="2"/>
      <c r="J30" s="2" t="s">
        <v>152</v>
      </c>
      <c r="K30" s="2" t="s">
        <v>153</v>
      </c>
      <c r="L30" s="2" t="s">
        <v>154</v>
      </c>
      <c r="M30" s="2"/>
      <c r="N30" s="2"/>
      <c r="O30" s="2"/>
      <c r="P30" s="2" t="s">
        <v>155</v>
      </c>
    </row>
    <row r="31" customFormat="false" ht="15" hidden="false" customHeight="false" outlineLevel="0" collapsed="false">
      <c r="A31" s="2" t="n">
        <v>30</v>
      </c>
      <c r="B31" s="2" t="s">
        <v>148</v>
      </c>
      <c r="C31" s="2" t="s">
        <v>156</v>
      </c>
      <c r="D31" s="2" t="s">
        <v>150</v>
      </c>
      <c r="E31" s="2" t="s">
        <v>19</v>
      </c>
      <c r="F31" s="3" t="s">
        <v>20</v>
      </c>
      <c r="G31" s="2"/>
      <c r="H31" s="2"/>
      <c r="I31" s="2"/>
      <c r="J31" s="2"/>
      <c r="K31" s="2"/>
      <c r="L31" s="2"/>
      <c r="M31" s="2"/>
      <c r="N31" s="2" t="s">
        <v>133</v>
      </c>
      <c r="O31" s="2"/>
      <c r="P31" s="2"/>
    </row>
    <row r="32" customFormat="false" ht="23.85" hidden="false" customHeight="false" outlineLevel="0" collapsed="false">
      <c r="A32" s="2" t="n">
        <v>31</v>
      </c>
      <c r="B32" s="2" t="s">
        <v>148</v>
      </c>
      <c r="C32" s="2" t="s">
        <v>157</v>
      </c>
      <c r="D32" s="2" t="s">
        <v>105</v>
      </c>
      <c r="E32" s="2" t="s">
        <v>19</v>
      </c>
      <c r="F32" s="4" t="s">
        <v>26</v>
      </c>
      <c r="G32" s="2"/>
      <c r="H32" s="2"/>
      <c r="I32" s="2"/>
      <c r="J32" s="2" t="s">
        <v>158</v>
      </c>
      <c r="K32" s="2" t="s">
        <v>159</v>
      </c>
      <c r="L32" s="2"/>
      <c r="M32" s="2"/>
      <c r="N32" s="2"/>
      <c r="O32" s="2" t="s">
        <v>160</v>
      </c>
      <c r="P32" s="2"/>
    </row>
    <row r="33" customFormat="false" ht="23.85" hidden="false" customHeight="false" outlineLevel="0" collapsed="false">
      <c r="A33" s="2" t="n">
        <v>32</v>
      </c>
      <c r="B33" s="2" t="s">
        <v>148</v>
      </c>
      <c r="C33" s="2" t="s">
        <v>161</v>
      </c>
      <c r="D33" s="2" t="s">
        <v>162</v>
      </c>
      <c r="E33" s="2" t="s">
        <v>19</v>
      </c>
      <c r="F33" s="4" t="s">
        <v>26</v>
      </c>
      <c r="G33" s="2"/>
      <c r="H33" s="2"/>
      <c r="I33" s="2"/>
      <c r="J33" s="2"/>
      <c r="K33" s="2"/>
      <c r="L33" s="2"/>
      <c r="M33" s="2"/>
      <c r="N33" s="2"/>
      <c r="O33" s="2" t="s">
        <v>163</v>
      </c>
      <c r="P33" s="2"/>
    </row>
    <row r="34" customFormat="false" ht="23.85" hidden="false" customHeight="false" outlineLevel="0" collapsed="false">
      <c r="A34" s="2" t="n">
        <v>33</v>
      </c>
      <c r="B34" s="2" t="s">
        <v>148</v>
      </c>
      <c r="C34" s="2" t="s">
        <v>164</v>
      </c>
      <c r="D34" s="2" t="s">
        <v>29</v>
      </c>
      <c r="E34" s="2" t="s">
        <v>19</v>
      </c>
      <c r="F34" s="4" t="s">
        <v>26</v>
      </c>
      <c r="G34" s="2"/>
      <c r="H34" s="2" t="s">
        <v>165</v>
      </c>
      <c r="I34" s="2"/>
      <c r="J34" s="2"/>
      <c r="K34" s="2" t="s">
        <v>166</v>
      </c>
      <c r="L34" s="2" t="s">
        <v>167</v>
      </c>
      <c r="M34" s="2"/>
      <c r="N34" s="2"/>
      <c r="O34" s="2" t="s">
        <v>168</v>
      </c>
      <c r="P34" s="2"/>
    </row>
    <row r="35" customFormat="false" ht="15" hidden="false" customHeight="false" outlineLevel="0" collapsed="false">
      <c r="A35" s="2" t="n">
        <v>34</v>
      </c>
      <c r="B35" s="2" t="s">
        <v>148</v>
      </c>
      <c r="C35" s="2" t="s">
        <v>169</v>
      </c>
      <c r="D35" s="2" t="s">
        <v>170</v>
      </c>
      <c r="E35" s="2" t="s">
        <v>19</v>
      </c>
      <c r="F35" s="3" t="s">
        <v>20</v>
      </c>
      <c r="G35" s="2"/>
      <c r="H35" s="2"/>
      <c r="I35" s="2"/>
      <c r="J35" s="2"/>
      <c r="K35" s="2" t="s">
        <v>39</v>
      </c>
      <c r="L35" s="2"/>
      <c r="M35" s="2"/>
      <c r="N35" s="2"/>
      <c r="O35" s="2" t="s">
        <v>171</v>
      </c>
      <c r="P35" s="2"/>
    </row>
    <row r="36" customFormat="false" ht="23.85" hidden="false" customHeight="false" outlineLevel="0" collapsed="false">
      <c r="A36" s="2" t="n">
        <v>35</v>
      </c>
      <c r="B36" s="2" t="s">
        <v>148</v>
      </c>
      <c r="C36" s="2" t="s">
        <v>172</v>
      </c>
      <c r="D36" s="2" t="s">
        <v>173</v>
      </c>
      <c r="E36" s="2" t="s">
        <v>19</v>
      </c>
      <c r="F36" s="3" t="s">
        <v>20</v>
      </c>
      <c r="G36" s="2"/>
      <c r="H36" s="2" t="s">
        <v>174</v>
      </c>
      <c r="I36" s="2"/>
      <c r="J36" s="2"/>
      <c r="K36" s="2" t="s">
        <v>31</v>
      </c>
      <c r="L36" s="2" t="s">
        <v>175</v>
      </c>
      <c r="M36" s="2"/>
      <c r="N36" s="2"/>
      <c r="O36" s="2" t="s">
        <v>176</v>
      </c>
      <c r="P36" s="2"/>
    </row>
    <row r="37" customFormat="false" ht="23.85" hidden="false" customHeight="false" outlineLevel="0" collapsed="false">
      <c r="A37" s="2" t="n">
        <v>36</v>
      </c>
      <c r="B37" s="2" t="s">
        <v>148</v>
      </c>
      <c r="C37" s="2" t="s">
        <v>177</v>
      </c>
      <c r="D37" s="2" t="s">
        <v>178</v>
      </c>
      <c r="E37" s="2" t="s">
        <v>19</v>
      </c>
      <c r="F37" s="3" t="s">
        <v>20</v>
      </c>
      <c r="G37" s="2"/>
      <c r="H37" s="2"/>
      <c r="I37" s="2"/>
      <c r="J37" s="2"/>
      <c r="K37" s="2" t="s">
        <v>39</v>
      </c>
      <c r="L37" s="2"/>
      <c r="M37" s="2"/>
      <c r="N37" s="2" t="s">
        <v>179</v>
      </c>
      <c r="O37" s="2" t="s">
        <v>180</v>
      </c>
      <c r="P37" s="2" t="s">
        <v>181</v>
      </c>
    </row>
    <row r="38" customFormat="false" ht="23.85" hidden="false" customHeight="false" outlineLevel="0" collapsed="false">
      <c r="A38" s="2" t="n">
        <v>37</v>
      </c>
      <c r="B38" s="2" t="s">
        <v>182</v>
      </c>
      <c r="C38" s="2" t="s">
        <v>183</v>
      </c>
      <c r="D38" s="2" t="s">
        <v>184</v>
      </c>
      <c r="E38" s="2" t="s">
        <v>19</v>
      </c>
      <c r="F38" s="4" t="s">
        <v>26</v>
      </c>
      <c r="G38" s="2" t="s">
        <v>185</v>
      </c>
      <c r="H38" s="2"/>
      <c r="I38" s="2"/>
      <c r="J38" s="2"/>
      <c r="K38" s="2"/>
      <c r="L38" s="2"/>
      <c r="M38" s="2"/>
      <c r="N38" s="2"/>
      <c r="O38" s="2" t="s">
        <v>186</v>
      </c>
      <c r="P38" s="2" t="s">
        <v>187</v>
      </c>
    </row>
    <row r="39" customFormat="false" ht="23.85" hidden="false" customHeight="false" outlineLevel="0" collapsed="false">
      <c r="A39" s="2" t="n">
        <v>38</v>
      </c>
      <c r="B39" s="2" t="s">
        <v>182</v>
      </c>
      <c r="C39" s="2" t="s">
        <v>188</v>
      </c>
      <c r="D39" s="2" t="s">
        <v>189</v>
      </c>
      <c r="E39" s="2" t="s">
        <v>19</v>
      </c>
      <c r="F39" s="5" t="s">
        <v>47</v>
      </c>
      <c r="G39" s="2"/>
      <c r="H39" s="2" t="s">
        <v>190</v>
      </c>
      <c r="I39" s="2"/>
      <c r="J39" s="2"/>
      <c r="K39" s="2" t="s">
        <v>153</v>
      </c>
      <c r="L39" s="2"/>
      <c r="M39" s="2"/>
      <c r="N39" s="2" t="s">
        <v>191</v>
      </c>
      <c r="O39" s="2" t="s">
        <v>192</v>
      </c>
      <c r="P39" s="2"/>
    </row>
    <row r="40" customFormat="false" ht="91" hidden="false" customHeight="false" outlineLevel="0" collapsed="false">
      <c r="A40" s="2" t="n">
        <v>39</v>
      </c>
      <c r="B40" s="2" t="s">
        <v>193</v>
      </c>
      <c r="C40" s="2" t="s">
        <v>194</v>
      </c>
      <c r="D40" s="2" t="s">
        <v>195</v>
      </c>
      <c r="E40" s="2" t="s">
        <v>19</v>
      </c>
      <c r="F40" s="3" t="s">
        <v>20</v>
      </c>
      <c r="G40" s="2"/>
      <c r="H40" s="2"/>
      <c r="I40" s="2"/>
      <c r="J40" s="2" t="s">
        <v>196</v>
      </c>
      <c r="K40" s="2" t="s">
        <v>197</v>
      </c>
      <c r="L40" s="2"/>
      <c r="M40" s="2"/>
      <c r="N40" s="2"/>
      <c r="O40" s="2" t="s">
        <v>198</v>
      </c>
      <c r="P40" s="2"/>
    </row>
    <row r="41" customFormat="false" ht="15" hidden="false" customHeight="false" outlineLevel="0" collapsed="false">
      <c r="A41" s="2" t="n">
        <v>40</v>
      </c>
      <c r="B41" s="2" t="s">
        <v>193</v>
      </c>
      <c r="C41" s="2" t="s">
        <v>199</v>
      </c>
      <c r="D41" s="2" t="s">
        <v>200</v>
      </c>
      <c r="E41" s="2" t="s">
        <v>19</v>
      </c>
      <c r="F41" s="4" t="s">
        <v>26</v>
      </c>
      <c r="G41" s="2"/>
      <c r="H41" s="2" t="s">
        <v>201</v>
      </c>
      <c r="I41" s="2" t="s">
        <v>202</v>
      </c>
      <c r="J41" s="2" t="s">
        <v>203</v>
      </c>
      <c r="K41" s="2" t="s">
        <v>31</v>
      </c>
      <c r="L41" s="2" t="s">
        <v>204</v>
      </c>
      <c r="M41" s="2"/>
      <c r="N41" s="2"/>
      <c r="O41" s="2"/>
      <c r="P41" s="2"/>
    </row>
    <row r="42" customFormat="false" ht="15" hidden="false" customHeight="false" outlineLevel="0" collapsed="false">
      <c r="A42" s="2" t="n">
        <v>41</v>
      </c>
      <c r="B42" s="2" t="s">
        <v>193</v>
      </c>
      <c r="C42" s="2" t="s">
        <v>205</v>
      </c>
      <c r="D42" s="2" t="s">
        <v>44</v>
      </c>
      <c r="E42" s="2" t="s">
        <v>19</v>
      </c>
      <c r="F42" s="5" t="s">
        <v>47</v>
      </c>
      <c r="G42" s="2"/>
      <c r="H42" s="2" t="s">
        <v>206</v>
      </c>
      <c r="I42" s="2"/>
      <c r="J42" s="2"/>
      <c r="K42" s="2" t="s">
        <v>153</v>
      </c>
      <c r="L42" s="2" t="s">
        <v>207</v>
      </c>
      <c r="M42" s="2" t="s">
        <v>208</v>
      </c>
      <c r="N42" s="2"/>
      <c r="O42" s="2" t="s">
        <v>209</v>
      </c>
      <c r="P42" s="2" t="s">
        <v>210</v>
      </c>
    </row>
    <row r="43" customFormat="false" ht="15" hidden="false" customHeight="false" outlineLevel="0" collapsed="false">
      <c r="A43" s="2" t="n">
        <v>42</v>
      </c>
      <c r="B43" s="2" t="s">
        <v>193</v>
      </c>
      <c r="C43" s="2" t="s">
        <v>211</v>
      </c>
      <c r="D43" s="2" t="s">
        <v>212</v>
      </c>
      <c r="E43" s="2" t="s">
        <v>19</v>
      </c>
      <c r="F43" s="4" t="s">
        <v>26</v>
      </c>
      <c r="G43" s="2" t="s">
        <v>213</v>
      </c>
      <c r="H43" s="2"/>
      <c r="I43" s="2"/>
      <c r="J43" s="2"/>
      <c r="K43" s="2"/>
      <c r="L43" s="2"/>
      <c r="M43" s="2"/>
      <c r="N43" s="2" t="s">
        <v>214</v>
      </c>
      <c r="O43" s="2"/>
      <c r="P43" s="2" t="s">
        <v>215</v>
      </c>
    </row>
    <row r="44" customFormat="false" ht="23.85" hidden="false" customHeight="false" outlineLevel="0" collapsed="false">
      <c r="A44" s="2" t="n">
        <v>43</v>
      </c>
      <c r="B44" s="2" t="s">
        <v>193</v>
      </c>
      <c r="C44" s="2" t="s">
        <v>216</v>
      </c>
      <c r="D44" s="2" t="s">
        <v>217</v>
      </c>
      <c r="E44" s="2" t="s">
        <v>19</v>
      </c>
      <c r="F44" s="5" t="s">
        <v>47</v>
      </c>
      <c r="G44" s="2" t="s">
        <v>218</v>
      </c>
      <c r="H44" s="2" t="s">
        <v>219</v>
      </c>
      <c r="I44" s="2" t="s">
        <v>190</v>
      </c>
      <c r="J44" s="2"/>
      <c r="K44" s="2" t="s">
        <v>153</v>
      </c>
      <c r="L44" s="2" t="s">
        <v>220</v>
      </c>
      <c r="M44" s="2" t="s">
        <v>221</v>
      </c>
      <c r="N44" s="2" t="s">
        <v>222</v>
      </c>
      <c r="O44" s="2" t="s">
        <v>223</v>
      </c>
      <c r="P44" s="2"/>
    </row>
    <row r="45" customFormat="false" ht="15" hidden="false" customHeight="false" outlineLevel="0" collapsed="false">
      <c r="A45" s="2" t="n">
        <v>44</v>
      </c>
      <c r="B45" s="2" t="s">
        <v>193</v>
      </c>
      <c r="C45" s="2" t="s">
        <v>224</v>
      </c>
      <c r="D45" s="2" t="s">
        <v>105</v>
      </c>
      <c r="E45" s="2" t="s">
        <v>19</v>
      </c>
      <c r="F45" s="4" t="s">
        <v>26</v>
      </c>
      <c r="G45" s="2"/>
      <c r="H45" s="2"/>
      <c r="I45" s="2"/>
      <c r="J45" s="2" t="s">
        <v>225</v>
      </c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 t="n">
        <v>45</v>
      </c>
      <c r="B46" s="2" t="s">
        <v>193</v>
      </c>
      <c r="C46" s="2" t="s">
        <v>226</v>
      </c>
      <c r="D46" s="2" t="s">
        <v>105</v>
      </c>
      <c r="E46" s="2" t="s">
        <v>19</v>
      </c>
      <c r="F46" s="4" t="s">
        <v>26</v>
      </c>
      <c r="G46" s="2"/>
      <c r="H46" s="2"/>
      <c r="I46" s="2"/>
      <c r="J46" s="2" t="s">
        <v>227</v>
      </c>
      <c r="K46" s="2" t="s">
        <v>228</v>
      </c>
      <c r="L46" s="2"/>
      <c r="M46" s="2"/>
      <c r="N46" s="2"/>
      <c r="O46" s="2"/>
      <c r="P46" s="2"/>
    </row>
    <row r="47" customFormat="false" ht="23.85" hidden="false" customHeight="false" outlineLevel="0" collapsed="false">
      <c r="A47" s="2" t="n">
        <v>46</v>
      </c>
      <c r="B47" s="2" t="s">
        <v>229</v>
      </c>
      <c r="C47" s="2" t="s">
        <v>230</v>
      </c>
      <c r="D47" s="2" t="s">
        <v>231</v>
      </c>
      <c r="E47" s="2" t="s">
        <v>60</v>
      </c>
      <c r="F47" s="4" t="s">
        <v>26</v>
      </c>
      <c r="G47" s="2" t="s">
        <v>232</v>
      </c>
      <c r="H47" s="2" t="s">
        <v>233</v>
      </c>
      <c r="I47" s="2" t="s">
        <v>80</v>
      </c>
      <c r="J47" s="2" t="s">
        <v>234</v>
      </c>
      <c r="K47" s="2" t="s">
        <v>235</v>
      </c>
      <c r="L47" s="2" t="s">
        <v>236</v>
      </c>
      <c r="M47" s="2" t="s">
        <v>237</v>
      </c>
      <c r="N47" s="2" t="s">
        <v>238</v>
      </c>
      <c r="O47" s="2" t="s">
        <v>239</v>
      </c>
      <c r="P47" s="2" t="s">
        <v>240</v>
      </c>
    </row>
    <row r="48" customFormat="false" ht="35.05" hidden="false" customHeight="false" outlineLevel="0" collapsed="false">
      <c r="A48" s="2" t="n">
        <v>47</v>
      </c>
      <c r="B48" s="2" t="s">
        <v>229</v>
      </c>
      <c r="C48" s="2" t="s">
        <v>241</v>
      </c>
      <c r="D48" s="2" t="s">
        <v>150</v>
      </c>
      <c r="E48" s="2" t="s">
        <v>60</v>
      </c>
      <c r="F48" s="4" t="s">
        <v>26</v>
      </c>
      <c r="G48" s="2"/>
      <c r="H48" s="2"/>
      <c r="I48" s="2"/>
      <c r="J48" s="2"/>
      <c r="K48" s="2" t="s">
        <v>242</v>
      </c>
      <c r="L48" s="2"/>
      <c r="M48" s="2"/>
      <c r="N48" s="2"/>
      <c r="O48" s="2" t="s">
        <v>243</v>
      </c>
      <c r="P48" s="2"/>
    </row>
    <row r="49" customFormat="false" ht="35.05" hidden="false" customHeight="false" outlineLevel="0" collapsed="false">
      <c r="A49" s="2" t="n">
        <v>48</v>
      </c>
      <c r="B49" s="2" t="s">
        <v>244</v>
      </c>
      <c r="C49" s="2" t="s">
        <v>245</v>
      </c>
      <c r="D49" s="2" t="s">
        <v>84</v>
      </c>
      <c r="E49" s="2" t="s">
        <v>60</v>
      </c>
      <c r="F49" s="4" t="s">
        <v>26</v>
      </c>
      <c r="G49" s="2" t="s">
        <v>246</v>
      </c>
      <c r="H49" s="2" t="s">
        <v>247</v>
      </c>
      <c r="I49" s="2" t="s">
        <v>248</v>
      </c>
      <c r="J49" s="2"/>
      <c r="K49" s="2" t="s">
        <v>249</v>
      </c>
      <c r="L49" s="2"/>
      <c r="M49" s="2" t="s">
        <v>250</v>
      </c>
      <c r="N49" s="2"/>
      <c r="O49" s="2" t="s">
        <v>251</v>
      </c>
      <c r="P49" s="2" t="s">
        <v>252</v>
      </c>
    </row>
    <row r="50" customFormat="false" ht="23.85" hidden="false" customHeight="false" outlineLevel="0" collapsed="false">
      <c r="A50" s="2" t="n">
        <v>49</v>
      </c>
      <c r="B50" s="2" t="s">
        <v>253</v>
      </c>
      <c r="C50" s="2" t="s">
        <v>254</v>
      </c>
      <c r="D50" s="2" t="s">
        <v>255</v>
      </c>
      <c r="E50" s="2" t="s">
        <v>19</v>
      </c>
      <c r="F50" s="5" t="s">
        <v>47</v>
      </c>
      <c r="G50" s="2"/>
      <c r="H50" s="2"/>
      <c r="I50" s="2"/>
      <c r="J50" s="2"/>
      <c r="K50" s="2" t="s">
        <v>256</v>
      </c>
      <c r="L50" s="2"/>
      <c r="M50" s="2"/>
      <c r="N50" s="2"/>
      <c r="O50" s="2"/>
      <c r="P50" s="2" t="s">
        <v>257</v>
      </c>
    </row>
    <row r="51" customFormat="false" ht="46.25" hidden="false" customHeight="false" outlineLevel="0" collapsed="false">
      <c r="A51" s="2" t="n">
        <v>50</v>
      </c>
      <c r="B51" s="2" t="s">
        <v>258</v>
      </c>
      <c r="C51" s="2" t="s">
        <v>259</v>
      </c>
      <c r="D51" s="2" t="s">
        <v>260</v>
      </c>
      <c r="E51" s="2" t="s">
        <v>19</v>
      </c>
      <c r="F51" s="3" t="s">
        <v>20</v>
      </c>
      <c r="G51" s="2" t="s">
        <v>261</v>
      </c>
      <c r="H51" s="2" t="s">
        <v>262</v>
      </c>
      <c r="I51" s="2" t="s">
        <v>263</v>
      </c>
      <c r="J51" s="2"/>
      <c r="K51" s="2" t="s">
        <v>264</v>
      </c>
      <c r="L51" s="2" t="s">
        <v>265</v>
      </c>
      <c r="M51" s="2" t="s">
        <v>266</v>
      </c>
      <c r="N51" s="2" t="s">
        <v>267</v>
      </c>
      <c r="O51" s="2" t="s">
        <v>268</v>
      </c>
      <c r="P51" s="2" t="s">
        <v>269</v>
      </c>
    </row>
    <row r="52" customFormat="false" ht="23.85" hidden="false" customHeight="false" outlineLevel="0" collapsed="false">
      <c r="A52" s="2" t="n">
        <v>51</v>
      </c>
      <c r="B52" s="2" t="s">
        <v>258</v>
      </c>
      <c r="C52" s="2" t="s">
        <v>270</v>
      </c>
      <c r="D52" s="2" t="s">
        <v>260</v>
      </c>
      <c r="E52" s="2" t="s">
        <v>19</v>
      </c>
      <c r="F52" s="3" t="s">
        <v>20</v>
      </c>
      <c r="G52" s="2" t="s">
        <v>271</v>
      </c>
      <c r="H52" s="2" t="s">
        <v>272</v>
      </c>
      <c r="I52" s="2"/>
      <c r="J52" s="2"/>
      <c r="K52" s="2" t="s">
        <v>273</v>
      </c>
      <c r="L52" s="2"/>
      <c r="M52" s="2"/>
      <c r="N52" s="2" t="s">
        <v>274</v>
      </c>
      <c r="O52" s="2" t="s">
        <v>275</v>
      </c>
      <c r="P52" s="2" t="s">
        <v>276</v>
      </c>
    </row>
    <row r="53" customFormat="false" ht="15" hidden="false" customHeight="false" outlineLevel="0" collapsed="false">
      <c r="A53" s="2" t="n">
        <v>52</v>
      </c>
      <c r="B53" s="2" t="s">
        <v>258</v>
      </c>
      <c r="C53" s="2" t="s">
        <v>277</v>
      </c>
      <c r="D53" s="2" t="s">
        <v>170</v>
      </c>
      <c r="E53" s="2" t="s">
        <v>19</v>
      </c>
      <c r="F53" s="3" t="s">
        <v>20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 t="n">
        <v>53</v>
      </c>
      <c r="B54" s="2" t="s">
        <v>258</v>
      </c>
      <c r="C54" s="2" t="s">
        <v>278</v>
      </c>
      <c r="D54" s="2" t="s">
        <v>170</v>
      </c>
      <c r="E54" s="2" t="s">
        <v>19</v>
      </c>
      <c r="F54" s="3" t="s">
        <v>20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23.85" hidden="false" customHeight="false" outlineLevel="0" collapsed="false">
      <c r="A55" s="2" t="n">
        <v>54</v>
      </c>
      <c r="B55" s="2" t="s">
        <v>258</v>
      </c>
      <c r="C55" s="2" t="s">
        <v>279</v>
      </c>
      <c r="D55" s="2" t="s">
        <v>280</v>
      </c>
      <c r="E55" s="2" t="s">
        <v>19</v>
      </c>
      <c r="F55" s="4" t="s">
        <v>26</v>
      </c>
      <c r="G55" s="2" t="s">
        <v>271</v>
      </c>
      <c r="H55" s="2"/>
      <c r="I55" s="2"/>
      <c r="J55" s="2" t="s">
        <v>281</v>
      </c>
      <c r="K55" s="2"/>
      <c r="L55" s="2"/>
      <c r="M55" s="2" t="s">
        <v>282</v>
      </c>
      <c r="N55" s="2"/>
      <c r="O55" s="2"/>
      <c r="P55" s="2" t="s">
        <v>283</v>
      </c>
    </row>
    <row r="56" customFormat="false" ht="15" hidden="false" customHeight="false" outlineLevel="0" collapsed="false">
      <c r="A56" s="2" t="n">
        <v>55</v>
      </c>
      <c r="B56" s="2" t="s">
        <v>284</v>
      </c>
      <c r="C56" s="2" t="s">
        <v>285</v>
      </c>
      <c r="D56" s="2" t="s">
        <v>286</v>
      </c>
      <c r="E56" s="2" t="s">
        <v>19</v>
      </c>
      <c r="F56" s="3" t="s">
        <v>20</v>
      </c>
      <c r="G56" s="2"/>
      <c r="H56" s="2"/>
      <c r="I56" s="2"/>
      <c r="J56" s="2"/>
      <c r="K56" s="2"/>
      <c r="L56" s="2"/>
      <c r="M56" s="2"/>
      <c r="N56" s="2"/>
      <c r="O56" s="2" t="s">
        <v>287</v>
      </c>
      <c r="P56" s="2"/>
    </row>
    <row r="57" customFormat="false" ht="23.85" hidden="false" customHeight="false" outlineLevel="0" collapsed="false">
      <c r="A57" s="2" t="n">
        <v>56</v>
      </c>
      <c r="B57" s="2" t="s">
        <v>284</v>
      </c>
      <c r="C57" s="2" t="s">
        <v>288</v>
      </c>
      <c r="D57" s="2" t="s">
        <v>289</v>
      </c>
      <c r="E57" s="2" t="s">
        <v>19</v>
      </c>
      <c r="F57" s="3" t="s">
        <v>20</v>
      </c>
      <c r="G57" s="2"/>
      <c r="H57" s="2"/>
      <c r="I57" s="2"/>
      <c r="J57" s="2"/>
      <c r="K57" s="2" t="s">
        <v>153</v>
      </c>
      <c r="L57" s="2"/>
      <c r="M57" s="2"/>
      <c r="N57" s="2"/>
      <c r="O57" s="2" t="s">
        <v>290</v>
      </c>
      <c r="P57" s="2" t="s">
        <v>291</v>
      </c>
    </row>
    <row r="58" customFormat="false" ht="23.85" hidden="false" customHeight="false" outlineLevel="0" collapsed="false">
      <c r="A58" s="2" t="n">
        <v>57</v>
      </c>
      <c r="B58" s="2" t="s">
        <v>284</v>
      </c>
      <c r="C58" s="2" t="s">
        <v>292</v>
      </c>
      <c r="D58" s="2" t="s">
        <v>57</v>
      </c>
      <c r="E58" s="2" t="s">
        <v>19</v>
      </c>
      <c r="F58" s="4" t="s">
        <v>26</v>
      </c>
      <c r="G58" s="2"/>
      <c r="H58" s="2"/>
      <c r="I58" s="2"/>
      <c r="J58" s="2"/>
      <c r="K58" s="2" t="s">
        <v>31</v>
      </c>
      <c r="L58" s="2" t="s">
        <v>293</v>
      </c>
      <c r="M58" s="2"/>
      <c r="N58" s="2"/>
      <c r="O58" s="2"/>
      <c r="P58" s="2" t="s">
        <v>294</v>
      </c>
    </row>
    <row r="59" customFormat="false" ht="15" hidden="false" customHeight="false" outlineLevel="0" collapsed="false">
      <c r="A59" s="2" t="n">
        <v>58</v>
      </c>
      <c r="B59" s="2" t="s">
        <v>295</v>
      </c>
      <c r="C59" s="2" t="s">
        <v>296</v>
      </c>
      <c r="D59" s="2" t="s">
        <v>170</v>
      </c>
      <c r="E59" s="2" t="s">
        <v>19</v>
      </c>
      <c r="F59" s="3" t="s">
        <v>20</v>
      </c>
      <c r="G59" s="2"/>
      <c r="H59" s="2"/>
      <c r="I59" s="2"/>
      <c r="J59" s="2"/>
      <c r="K59" s="2"/>
      <c r="L59" s="2"/>
      <c r="M59" s="2"/>
      <c r="N59" s="2"/>
      <c r="O59" s="2" t="s">
        <v>297</v>
      </c>
      <c r="P59" s="2"/>
    </row>
    <row r="60" customFormat="false" ht="23.85" hidden="false" customHeight="false" outlineLevel="0" collapsed="false">
      <c r="A60" s="2" t="n">
        <v>59</v>
      </c>
      <c r="B60" s="2" t="s">
        <v>295</v>
      </c>
      <c r="C60" s="2" t="s">
        <v>298</v>
      </c>
      <c r="D60" s="2" t="s">
        <v>299</v>
      </c>
      <c r="E60" s="2" t="s">
        <v>19</v>
      </c>
      <c r="F60" s="3" t="s">
        <v>20</v>
      </c>
      <c r="G60" s="2" t="s">
        <v>300</v>
      </c>
      <c r="H60" s="2" t="s">
        <v>301</v>
      </c>
      <c r="I60" s="2"/>
      <c r="J60" s="2"/>
      <c r="K60" s="2" t="s">
        <v>302</v>
      </c>
      <c r="L60" s="2"/>
      <c r="M60" s="2"/>
      <c r="N60" s="2"/>
      <c r="O60" s="2"/>
      <c r="P60" s="2" t="s">
        <v>303</v>
      </c>
    </row>
    <row r="61" customFormat="false" ht="23.85" hidden="false" customHeight="false" outlineLevel="0" collapsed="false">
      <c r="A61" s="2" t="n">
        <v>60</v>
      </c>
      <c r="B61" s="2" t="s">
        <v>295</v>
      </c>
      <c r="C61" s="2" t="s">
        <v>304</v>
      </c>
      <c r="D61" s="2" t="s">
        <v>29</v>
      </c>
      <c r="E61" s="2" t="s">
        <v>19</v>
      </c>
      <c r="F61" s="3" t="s">
        <v>20</v>
      </c>
      <c r="G61" s="2" t="s">
        <v>305</v>
      </c>
      <c r="H61" s="2" t="s">
        <v>306</v>
      </c>
      <c r="I61" s="2"/>
      <c r="J61" s="2"/>
      <c r="K61" s="2" t="s">
        <v>307</v>
      </c>
      <c r="L61" s="2"/>
      <c r="M61" s="2"/>
      <c r="N61" s="2"/>
      <c r="O61" s="2" t="s">
        <v>308</v>
      </c>
      <c r="P61" s="2" t="s">
        <v>309</v>
      </c>
    </row>
    <row r="62" customFormat="false" ht="23.85" hidden="false" customHeight="false" outlineLevel="0" collapsed="false">
      <c r="A62" s="2" t="n">
        <v>61</v>
      </c>
      <c r="B62" s="2" t="s">
        <v>295</v>
      </c>
      <c r="C62" s="2" t="s">
        <v>310</v>
      </c>
      <c r="D62" s="2" t="s">
        <v>170</v>
      </c>
      <c r="E62" s="2" t="s">
        <v>19</v>
      </c>
      <c r="F62" s="3" t="s">
        <v>20</v>
      </c>
      <c r="G62" s="2" t="s">
        <v>311</v>
      </c>
      <c r="H62" s="2"/>
      <c r="I62" s="2"/>
      <c r="J62" s="2"/>
      <c r="K62" s="2"/>
      <c r="L62" s="2"/>
      <c r="M62" s="2"/>
      <c r="N62" s="2"/>
      <c r="O62" s="2"/>
      <c r="P62" s="2" t="s">
        <v>312</v>
      </c>
    </row>
    <row r="63" customFormat="false" ht="23.85" hidden="false" customHeight="false" outlineLevel="0" collapsed="false">
      <c r="A63" s="2" t="n">
        <v>62</v>
      </c>
      <c r="B63" s="2" t="s">
        <v>295</v>
      </c>
      <c r="C63" s="2" t="s">
        <v>313</v>
      </c>
      <c r="D63" s="2" t="s">
        <v>314</v>
      </c>
      <c r="E63" s="2" t="s">
        <v>19</v>
      </c>
      <c r="F63" s="3" t="s">
        <v>20</v>
      </c>
      <c r="G63" s="2" t="s">
        <v>315</v>
      </c>
      <c r="H63" s="2" t="s">
        <v>316</v>
      </c>
      <c r="I63" s="2" t="s">
        <v>190</v>
      </c>
      <c r="J63" s="2" t="s">
        <v>317</v>
      </c>
      <c r="K63" s="2" t="s">
        <v>39</v>
      </c>
      <c r="L63" s="2"/>
      <c r="M63" s="2" t="s">
        <v>318</v>
      </c>
      <c r="N63" s="2"/>
      <c r="O63" s="2" t="s">
        <v>319</v>
      </c>
      <c r="P63" s="2" t="s">
        <v>320</v>
      </c>
    </row>
    <row r="64" customFormat="false" ht="15" hidden="false" customHeight="false" outlineLevel="0" collapsed="false">
      <c r="A64" s="2" t="n">
        <v>63</v>
      </c>
      <c r="B64" s="2" t="s">
        <v>295</v>
      </c>
      <c r="C64" s="2" t="s">
        <v>321</v>
      </c>
      <c r="D64" s="2" t="s">
        <v>322</v>
      </c>
      <c r="E64" s="2" t="s">
        <v>19</v>
      </c>
      <c r="F64" s="4" t="s">
        <v>26</v>
      </c>
      <c r="G64" s="2" t="s">
        <v>323</v>
      </c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 t="n">
        <v>64</v>
      </c>
      <c r="B65" s="2" t="s">
        <v>295</v>
      </c>
      <c r="C65" s="2" t="s">
        <v>324</v>
      </c>
      <c r="D65" s="2" t="s">
        <v>322</v>
      </c>
      <c r="E65" s="2" t="s">
        <v>19</v>
      </c>
      <c r="F65" s="4" t="s">
        <v>26</v>
      </c>
      <c r="G65" s="2" t="s">
        <v>325</v>
      </c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 t="n">
        <v>65</v>
      </c>
      <c r="B66" s="2" t="s">
        <v>295</v>
      </c>
      <c r="C66" s="2" t="s">
        <v>326</v>
      </c>
      <c r="D66" s="2" t="s">
        <v>322</v>
      </c>
      <c r="E66" s="2" t="s">
        <v>19</v>
      </c>
      <c r="F66" s="4" t="s">
        <v>26</v>
      </c>
      <c r="G66" s="2" t="s">
        <v>327</v>
      </c>
      <c r="H66" s="2"/>
      <c r="I66" s="2"/>
      <c r="J66" s="2"/>
      <c r="K66" s="2"/>
      <c r="L66" s="2"/>
      <c r="M66" s="2"/>
      <c r="N66" s="2"/>
      <c r="O66" s="2"/>
      <c r="P66" s="2"/>
    </row>
    <row r="67" customFormat="false" ht="23.85" hidden="false" customHeight="false" outlineLevel="0" collapsed="false">
      <c r="A67" s="2" t="n">
        <v>66</v>
      </c>
      <c r="B67" s="2" t="s">
        <v>295</v>
      </c>
      <c r="C67" s="2" t="s">
        <v>328</v>
      </c>
      <c r="D67" s="2" t="s">
        <v>178</v>
      </c>
      <c r="E67" s="2" t="s">
        <v>19</v>
      </c>
      <c r="F67" s="5" t="s">
        <v>47</v>
      </c>
      <c r="G67" s="2" t="s">
        <v>329</v>
      </c>
      <c r="H67" s="2"/>
      <c r="I67" s="2"/>
      <c r="J67" s="2"/>
      <c r="K67" s="2"/>
      <c r="L67" s="2"/>
      <c r="M67" s="2"/>
      <c r="N67" s="2"/>
      <c r="O67" s="2"/>
      <c r="P67" s="2" t="s">
        <v>330</v>
      </c>
    </row>
    <row r="68" customFormat="false" ht="23.85" hidden="false" customHeight="false" outlineLevel="0" collapsed="false">
      <c r="A68" s="2" t="n">
        <v>67</v>
      </c>
      <c r="B68" s="2" t="s">
        <v>295</v>
      </c>
      <c r="C68" s="2" t="s">
        <v>331</v>
      </c>
      <c r="D68" s="2" t="s">
        <v>332</v>
      </c>
      <c r="E68" s="2" t="s">
        <v>19</v>
      </c>
      <c r="F68" s="5" t="s">
        <v>47</v>
      </c>
      <c r="G68" s="2" t="s">
        <v>333</v>
      </c>
      <c r="H68" s="2" t="s">
        <v>206</v>
      </c>
      <c r="I68" s="2" t="s">
        <v>334</v>
      </c>
      <c r="J68" s="2" t="s">
        <v>335</v>
      </c>
      <c r="K68" s="2" t="s">
        <v>336</v>
      </c>
      <c r="L68" s="2" t="s">
        <v>337</v>
      </c>
      <c r="M68" s="2"/>
      <c r="N68" s="2"/>
      <c r="O68" s="2" t="s">
        <v>338</v>
      </c>
      <c r="P68" s="2" t="s">
        <v>330</v>
      </c>
    </row>
    <row r="69" customFormat="false" ht="15" hidden="false" customHeight="false" outlineLevel="0" collapsed="false">
      <c r="A69" s="2" t="n">
        <v>68</v>
      </c>
      <c r="B69" s="2" t="s">
        <v>295</v>
      </c>
      <c r="C69" s="2" t="s">
        <v>339</v>
      </c>
      <c r="D69" s="2" t="s">
        <v>322</v>
      </c>
      <c r="E69" s="2" t="s">
        <v>19</v>
      </c>
      <c r="F69" s="4" t="s">
        <v>26</v>
      </c>
      <c r="G69" s="2" t="s">
        <v>340</v>
      </c>
      <c r="H69" s="2"/>
      <c r="I69" s="2"/>
      <c r="J69" s="2"/>
      <c r="K69" s="2"/>
      <c r="L69" s="2"/>
      <c r="M69" s="2"/>
      <c r="N69" s="2"/>
      <c r="O69" s="2"/>
      <c r="P69" s="2"/>
    </row>
    <row r="70" customFormat="false" ht="23.85" hidden="false" customHeight="false" outlineLevel="0" collapsed="false">
      <c r="A70" s="2" t="n">
        <v>69</v>
      </c>
      <c r="B70" s="2" t="s">
        <v>295</v>
      </c>
      <c r="C70" s="2" t="s">
        <v>341</v>
      </c>
      <c r="D70" s="2" t="s">
        <v>342</v>
      </c>
      <c r="E70" s="2" t="s">
        <v>60</v>
      </c>
      <c r="F70" s="5" t="s">
        <v>47</v>
      </c>
      <c r="G70" s="2" t="s">
        <v>343</v>
      </c>
      <c r="H70" s="2"/>
      <c r="I70" s="2"/>
      <c r="J70" s="2"/>
      <c r="K70" s="2"/>
      <c r="L70" s="2"/>
      <c r="M70" s="2"/>
      <c r="N70" s="2"/>
      <c r="O70" s="2"/>
      <c r="P70" s="2" t="s">
        <v>330</v>
      </c>
    </row>
    <row r="71" customFormat="false" ht="23.85" hidden="false" customHeight="false" outlineLevel="0" collapsed="false">
      <c r="A71" s="2" t="n">
        <v>70</v>
      </c>
      <c r="B71" s="2" t="s">
        <v>295</v>
      </c>
      <c r="C71" s="2" t="s">
        <v>344</v>
      </c>
      <c r="D71" s="2" t="s">
        <v>345</v>
      </c>
      <c r="E71" s="2" t="s">
        <v>60</v>
      </c>
      <c r="F71" s="4" t="s">
        <v>26</v>
      </c>
      <c r="G71" s="2" t="s">
        <v>346</v>
      </c>
      <c r="H71" s="2"/>
      <c r="I71" s="2"/>
      <c r="J71" s="2"/>
      <c r="K71" s="2"/>
      <c r="L71" s="2"/>
      <c r="M71" s="2"/>
      <c r="N71" s="2"/>
      <c r="O71" s="2" t="s">
        <v>347</v>
      </c>
      <c r="P71" s="2"/>
    </row>
    <row r="72" customFormat="false" ht="15" hidden="false" customHeight="false" outlineLevel="0" collapsed="false">
      <c r="A72" s="2" t="n">
        <v>71</v>
      </c>
      <c r="B72" s="2" t="s">
        <v>295</v>
      </c>
      <c r="C72" s="2" t="s">
        <v>348</v>
      </c>
      <c r="D72" s="2" t="s">
        <v>349</v>
      </c>
      <c r="E72" s="2" t="s">
        <v>60</v>
      </c>
      <c r="F72" s="4" t="s">
        <v>26</v>
      </c>
      <c r="G72" s="2" t="s">
        <v>350</v>
      </c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" hidden="false" customHeight="false" outlineLevel="0" collapsed="false">
      <c r="A73" s="2" t="n">
        <v>72</v>
      </c>
      <c r="B73" s="2" t="s">
        <v>295</v>
      </c>
      <c r="C73" s="2" t="s">
        <v>351</v>
      </c>
      <c r="D73" s="2" t="s">
        <v>352</v>
      </c>
      <c r="E73" s="2" t="s">
        <v>60</v>
      </c>
      <c r="F73" s="4" t="s">
        <v>26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 t="n">
        <v>73</v>
      </c>
      <c r="B74" s="2" t="s">
        <v>295</v>
      </c>
      <c r="C74" s="2" t="s">
        <v>353</v>
      </c>
      <c r="D74" s="2" t="s">
        <v>322</v>
      </c>
      <c r="E74" s="2" t="s">
        <v>60</v>
      </c>
      <c r="F74" s="4" t="s">
        <v>26</v>
      </c>
      <c r="G74" s="2" t="s">
        <v>354</v>
      </c>
      <c r="H74" s="2"/>
      <c r="I74" s="2"/>
      <c r="J74" s="2"/>
      <c r="K74" s="2"/>
      <c r="L74" s="2"/>
      <c r="M74" s="2"/>
      <c r="N74" s="2"/>
      <c r="O74" s="2"/>
      <c r="P74" s="2" t="s">
        <v>355</v>
      </c>
    </row>
    <row r="75" customFormat="false" ht="15" hidden="false" customHeight="false" outlineLevel="0" collapsed="false">
      <c r="A75" s="2" t="n">
        <v>74</v>
      </c>
      <c r="B75" s="2" t="s">
        <v>295</v>
      </c>
      <c r="C75" s="2" t="s">
        <v>356</v>
      </c>
      <c r="D75" s="2" t="s">
        <v>322</v>
      </c>
      <c r="E75" s="2" t="s">
        <v>60</v>
      </c>
      <c r="F75" s="3" t="s">
        <v>20</v>
      </c>
      <c r="G75" s="2" t="s">
        <v>357</v>
      </c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2" t="n">
        <v>75</v>
      </c>
      <c r="B76" s="2" t="s">
        <v>358</v>
      </c>
      <c r="C76" s="2" t="s">
        <v>359</v>
      </c>
      <c r="D76" s="2" t="s">
        <v>105</v>
      </c>
      <c r="E76" s="2" t="s">
        <v>19</v>
      </c>
      <c r="F76" s="5" t="s">
        <v>47</v>
      </c>
      <c r="G76" s="2"/>
      <c r="H76" s="2" t="s">
        <v>360</v>
      </c>
      <c r="I76" s="2"/>
      <c r="J76" s="2"/>
      <c r="K76" s="2" t="s">
        <v>31</v>
      </c>
      <c r="L76" s="2" t="s">
        <v>361</v>
      </c>
      <c r="M76" s="2"/>
      <c r="N76" s="2"/>
      <c r="O76" s="2"/>
      <c r="P76" s="2" t="s">
        <v>362</v>
      </c>
    </row>
    <row r="77" customFormat="false" ht="15" hidden="false" customHeight="false" outlineLevel="0" collapsed="false">
      <c r="A77" s="2" t="n">
        <v>76</v>
      </c>
      <c r="B77" s="2" t="s">
        <v>358</v>
      </c>
      <c r="C77" s="2" t="s">
        <v>363</v>
      </c>
      <c r="D77" s="2" t="s">
        <v>92</v>
      </c>
      <c r="E77" s="2" t="s">
        <v>19</v>
      </c>
      <c r="F77" s="5" t="s">
        <v>47</v>
      </c>
      <c r="G77" s="2"/>
      <c r="H77" s="2"/>
      <c r="I77" s="2"/>
      <c r="J77" s="2"/>
      <c r="K77" s="2"/>
      <c r="L77" s="2"/>
      <c r="M77" s="2"/>
      <c r="N77" s="2"/>
      <c r="O77" s="2"/>
      <c r="P77" s="2" t="s">
        <v>364</v>
      </c>
    </row>
    <row r="78" customFormat="false" ht="15" hidden="false" customHeight="false" outlineLevel="0" collapsed="false">
      <c r="A78" s="2" t="n">
        <v>77</v>
      </c>
      <c r="B78" s="2" t="s">
        <v>365</v>
      </c>
      <c r="C78" s="2" t="s">
        <v>366</v>
      </c>
      <c r="D78" s="2" t="s">
        <v>367</v>
      </c>
      <c r="E78" s="2" t="s">
        <v>19</v>
      </c>
      <c r="F78" s="3" t="s">
        <v>20</v>
      </c>
      <c r="G78" s="2"/>
      <c r="H78" s="2" t="s">
        <v>368</v>
      </c>
      <c r="I78" s="2"/>
      <c r="J78" s="2"/>
      <c r="K78" s="2" t="s">
        <v>369</v>
      </c>
      <c r="L78" s="2" t="s">
        <v>370</v>
      </c>
      <c r="M78" s="2" t="s">
        <v>371</v>
      </c>
      <c r="N78" s="2"/>
      <c r="O78" s="2"/>
      <c r="P78" s="2" t="s">
        <v>372</v>
      </c>
    </row>
    <row r="79" customFormat="false" ht="15" hidden="false" customHeight="false" outlineLevel="0" collapsed="false">
      <c r="A79" s="2" t="n">
        <v>78</v>
      </c>
      <c r="B79" s="2" t="s">
        <v>365</v>
      </c>
      <c r="C79" s="2" t="s">
        <v>373</v>
      </c>
      <c r="D79" s="2" t="s">
        <v>57</v>
      </c>
      <c r="E79" s="2" t="s">
        <v>19</v>
      </c>
      <c r="F79" s="4" t="s">
        <v>26</v>
      </c>
      <c r="G79" s="2" t="s">
        <v>374</v>
      </c>
      <c r="H79" s="2"/>
      <c r="I79" s="2"/>
      <c r="J79" s="2"/>
      <c r="K79" s="2" t="s">
        <v>39</v>
      </c>
      <c r="L79" s="2"/>
      <c r="M79" s="2" t="s">
        <v>375</v>
      </c>
      <c r="N79" s="2"/>
      <c r="O79" s="2"/>
      <c r="P79" s="2"/>
    </row>
    <row r="80" customFormat="false" ht="15" hidden="false" customHeight="false" outlineLevel="0" collapsed="false">
      <c r="A80" s="2" t="n">
        <v>79</v>
      </c>
      <c r="B80" s="2" t="s">
        <v>365</v>
      </c>
      <c r="C80" s="2" t="s">
        <v>376</v>
      </c>
      <c r="D80" s="2" t="s">
        <v>57</v>
      </c>
      <c r="E80" s="2" t="s">
        <v>19</v>
      </c>
      <c r="F80" s="4" t="s">
        <v>26</v>
      </c>
      <c r="G80" s="2" t="s">
        <v>377</v>
      </c>
      <c r="H80" s="2"/>
      <c r="I80" s="2"/>
      <c r="J80" s="2"/>
      <c r="K80" s="2" t="s">
        <v>39</v>
      </c>
      <c r="L80" s="2"/>
      <c r="M80" s="2" t="s">
        <v>378</v>
      </c>
      <c r="N80" s="2"/>
      <c r="O80" s="2"/>
      <c r="P80" s="2"/>
    </row>
    <row r="81" customFormat="false" ht="23.85" hidden="false" customHeight="false" outlineLevel="0" collapsed="false">
      <c r="A81" s="2" t="n">
        <v>80</v>
      </c>
      <c r="B81" s="2" t="s">
        <v>365</v>
      </c>
      <c r="C81" s="2" t="s">
        <v>379</v>
      </c>
      <c r="D81" s="2" t="s">
        <v>380</v>
      </c>
      <c r="E81" s="2" t="s">
        <v>19</v>
      </c>
      <c r="F81" s="4" t="s">
        <v>26</v>
      </c>
      <c r="G81" s="2"/>
      <c r="H81" s="2"/>
      <c r="I81" s="2"/>
      <c r="J81" s="2"/>
      <c r="K81" s="2" t="s">
        <v>381</v>
      </c>
      <c r="L81" s="2"/>
      <c r="M81" s="2"/>
      <c r="N81" s="2"/>
      <c r="O81" s="2"/>
      <c r="P81" s="2" t="s">
        <v>382</v>
      </c>
    </row>
    <row r="82" customFormat="false" ht="15" hidden="false" customHeight="false" outlineLevel="0" collapsed="false">
      <c r="A82" s="2" t="n">
        <v>81</v>
      </c>
      <c r="B82" s="2" t="s">
        <v>365</v>
      </c>
      <c r="C82" s="2" t="s">
        <v>383</v>
      </c>
      <c r="D82" s="2" t="s">
        <v>384</v>
      </c>
      <c r="E82" s="2" t="s">
        <v>19</v>
      </c>
      <c r="F82" s="4" t="s">
        <v>26</v>
      </c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15" hidden="false" customHeight="false" outlineLevel="0" collapsed="false">
      <c r="A83" s="2" t="n">
        <v>82</v>
      </c>
      <c r="B83" s="2" t="s">
        <v>365</v>
      </c>
      <c r="C83" s="2" t="s">
        <v>385</v>
      </c>
      <c r="D83" s="2" t="s">
        <v>57</v>
      </c>
      <c r="E83" s="2" t="s">
        <v>60</v>
      </c>
      <c r="F83" s="4" t="s">
        <v>26</v>
      </c>
      <c r="G83" s="2" t="s">
        <v>386</v>
      </c>
      <c r="H83" s="2"/>
      <c r="I83" s="2"/>
      <c r="J83" s="2"/>
      <c r="K83" s="2" t="s">
        <v>387</v>
      </c>
      <c r="L83" s="2"/>
      <c r="M83" s="2" t="s">
        <v>388</v>
      </c>
      <c r="N83" s="2"/>
      <c r="O83" s="2"/>
      <c r="P83" s="2"/>
    </row>
    <row r="84" customFormat="false" ht="23.85" hidden="false" customHeight="false" outlineLevel="0" collapsed="false">
      <c r="A84" s="2" t="n">
        <v>83</v>
      </c>
      <c r="B84" s="2" t="s">
        <v>365</v>
      </c>
      <c r="C84" s="2" t="s">
        <v>389</v>
      </c>
      <c r="D84" s="2" t="s">
        <v>390</v>
      </c>
      <c r="E84" s="2" t="s">
        <v>60</v>
      </c>
      <c r="F84" s="4" t="s">
        <v>26</v>
      </c>
      <c r="G84" s="2" t="s">
        <v>391</v>
      </c>
      <c r="H84" s="2"/>
      <c r="I84" s="2"/>
      <c r="J84" s="2"/>
      <c r="K84" s="2" t="s">
        <v>392</v>
      </c>
      <c r="L84" s="2"/>
      <c r="M84" s="2" t="s">
        <v>393</v>
      </c>
      <c r="N84" s="2"/>
      <c r="O84" s="2"/>
      <c r="P84" s="2"/>
    </row>
    <row r="85" customFormat="false" ht="15" hidden="false" customHeight="false" outlineLevel="0" collapsed="false">
      <c r="A85" s="2" t="n">
        <v>84</v>
      </c>
      <c r="B85" s="2" t="s">
        <v>365</v>
      </c>
      <c r="C85" s="2" t="s">
        <v>394</v>
      </c>
      <c r="D85" s="2" t="s">
        <v>57</v>
      </c>
      <c r="E85" s="2" t="s">
        <v>60</v>
      </c>
      <c r="F85" s="4" t="s">
        <v>26</v>
      </c>
      <c r="G85" s="2" t="s">
        <v>391</v>
      </c>
      <c r="H85" s="2"/>
      <c r="I85" s="2"/>
      <c r="J85" s="2"/>
      <c r="K85" s="2" t="s">
        <v>395</v>
      </c>
      <c r="L85" s="2"/>
      <c r="M85" s="2"/>
      <c r="N85" s="2"/>
      <c r="O85" s="2"/>
      <c r="P85" s="2" t="s">
        <v>396</v>
      </c>
    </row>
    <row r="86" customFormat="false" ht="35.05" hidden="false" customHeight="false" outlineLevel="0" collapsed="false">
      <c r="A86" s="2" t="n">
        <v>85</v>
      </c>
      <c r="B86" s="2" t="s">
        <v>365</v>
      </c>
      <c r="C86" s="2" t="s">
        <v>397</v>
      </c>
      <c r="D86" s="2" t="s">
        <v>398</v>
      </c>
      <c r="E86" s="2" t="s">
        <v>19</v>
      </c>
      <c r="F86" s="3" t="s">
        <v>20</v>
      </c>
      <c r="G86" s="2"/>
      <c r="H86" s="2"/>
      <c r="I86" s="2"/>
      <c r="J86" s="2"/>
      <c r="K86" s="2"/>
      <c r="L86" s="2"/>
      <c r="M86" s="2"/>
      <c r="N86" s="2"/>
      <c r="O86" s="2"/>
      <c r="P86" s="2" t="s">
        <v>399</v>
      </c>
    </row>
  </sheetData>
  <autoFilter ref="A1:P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6" t="s">
        <v>1</v>
      </c>
      <c r="B1" s="6" t="s">
        <v>400</v>
      </c>
      <c r="C1" s="6" t="s">
        <v>20</v>
      </c>
      <c r="D1" s="6" t="s">
        <v>26</v>
      </c>
      <c r="E1" s="6" t="s">
        <v>47</v>
      </c>
    </row>
    <row r="2" customFormat="false" ht="15" hidden="false" customHeight="false" outlineLevel="0" collapsed="false">
      <c r="A2" s="7" t="s">
        <v>16</v>
      </c>
      <c r="B2" s="7" t="n">
        <f aca="false">COUNTIF('Developer Projects'!$B$2:$B$86,A2)</f>
        <v>7</v>
      </c>
      <c r="C2" s="7" t="n">
        <f aca="false">COUNTIFS('Developer Projects'!$B$2:$B$86,A2,'Developer Projects'!$F$2:$F$86,"Completed")</f>
        <v>2</v>
      </c>
      <c r="D2" s="7" t="n">
        <f aca="false">COUNTIFS('Developer Projects'!$B$2:$B$86,A2,'Developer Projects'!$F$2:$F$86,"Ongoing")</f>
        <v>4</v>
      </c>
      <c r="E2" s="7" t="n">
        <f aca="false">COUNTIFS('Developer Projects'!$B$2:$B$86,A2,'Developer Projects'!$F$2:$F$86,"Upcoming")</f>
        <v>1</v>
      </c>
    </row>
    <row r="3" customFormat="false" ht="15" hidden="false" customHeight="false" outlineLevel="0" collapsed="false">
      <c r="A3" s="7" t="s">
        <v>49</v>
      </c>
      <c r="B3" s="7" t="n">
        <f aca="false">COUNTIF('Developer Projects'!$B$2:$B$86,A3)</f>
        <v>3</v>
      </c>
      <c r="C3" s="7" t="n">
        <f aca="false">COUNTIFS('Developer Projects'!$B$2:$B$86,A3,'Developer Projects'!$F$2:$F$86,"Completed")</f>
        <v>0</v>
      </c>
      <c r="D3" s="7" t="n">
        <f aca="false">COUNTIFS('Developer Projects'!$B$2:$B$86,A3,'Developer Projects'!$F$2:$F$86,"Ongoing")</f>
        <v>2</v>
      </c>
      <c r="E3" s="7" t="n">
        <f aca="false">COUNTIFS('Developer Projects'!$B$2:$B$86,A3,'Developer Projects'!$F$2:$F$86,"Upcoming")</f>
        <v>1</v>
      </c>
    </row>
    <row r="4" customFormat="false" ht="15" hidden="false" customHeight="false" outlineLevel="0" collapsed="false">
      <c r="A4" s="7" t="s">
        <v>63</v>
      </c>
      <c r="B4" s="7" t="n">
        <f aca="false">COUNTIF('Developer Projects'!$B$2:$B$86,A4)</f>
        <v>1</v>
      </c>
      <c r="C4" s="7" t="n">
        <f aca="false">COUNTIFS('Developer Projects'!$B$2:$B$86,A4,'Developer Projects'!$F$2:$F$86,"Completed")</f>
        <v>1</v>
      </c>
      <c r="D4" s="7" t="n">
        <f aca="false">COUNTIFS('Developer Projects'!$B$2:$B$86,A4,'Developer Projects'!$F$2:$F$86,"Ongoing")</f>
        <v>0</v>
      </c>
      <c r="E4" s="7" t="n">
        <f aca="false">COUNTIFS('Developer Projects'!$B$2:$B$86,A4,'Developer Projects'!$F$2:$F$86,"Upcoming")</f>
        <v>0</v>
      </c>
    </row>
    <row r="5" customFormat="false" ht="15" hidden="false" customHeight="false" outlineLevel="0" collapsed="false">
      <c r="A5" s="7" t="s">
        <v>77</v>
      </c>
      <c r="B5" s="7" t="n">
        <f aca="false">COUNTIF('Developer Projects'!$B$2:$B$86,A5)</f>
        <v>6</v>
      </c>
      <c r="C5" s="7" t="n">
        <f aca="false">COUNTIFS('Developer Projects'!$B$2:$B$86,A5,'Developer Projects'!$F$2:$F$86,"Completed")</f>
        <v>5</v>
      </c>
      <c r="D5" s="7" t="n">
        <f aca="false">COUNTIFS('Developer Projects'!$B$2:$B$86,A5,'Developer Projects'!$F$2:$F$86,"Ongoing")</f>
        <v>1</v>
      </c>
      <c r="E5" s="7" t="n">
        <f aca="false">COUNTIFS('Developer Projects'!$B$2:$B$86,A5,'Developer Projects'!$F$2:$F$86,"Upcoming")</f>
        <v>0</v>
      </c>
    </row>
    <row r="6" customFormat="false" ht="15" hidden="false" customHeight="false" outlineLevel="0" collapsed="false">
      <c r="A6" s="7" t="s">
        <v>107</v>
      </c>
      <c r="B6" s="7" t="n">
        <f aca="false">COUNTIF('Developer Projects'!$B$2:$B$86,A6)</f>
        <v>3</v>
      </c>
      <c r="C6" s="7" t="n">
        <f aca="false">COUNTIFS('Developer Projects'!$B$2:$B$86,A6,'Developer Projects'!$F$2:$F$86,"Completed")</f>
        <v>1</v>
      </c>
      <c r="D6" s="7" t="n">
        <f aca="false">COUNTIFS('Developer Projects'!$B$2:$B$86,A6,'Developer Projects'!$F$2:$F$86,"Ongoing")</f>
        <v>1</v>
      </c>
      <c r="E6" s="7" t="n">
        <f aca="false">COUNTIFS('Developer Projects'!$B$2:$B$86,A6,'Developer Projects'!$F$2:$F$86,"Upcoming")</f>
        <v>1</v>
      </c>
    </row>
    <row r="7" customFormat="false" ht="15" hidden="false" customHeight="false" outlineLevel="0" collapsed="false">
      <c r="A7" s="7" t="s">
        <v>123</v>
      </c>
      <c r="B7" s="7" t="n">
        <f aca="false">COUNTIF('Developer Projects'!$B$2:$B$86,A7)</f>
        <v>8</v>
      </c>
      <c r="C7" s="7" t="n">
        <f aca="false">COUNTIFS('Developer Projects'!$B$2:$B$86,A7,'Developer Projects'!$F$2:$F$86,"Completed")</f>
        <v>5</v>
      </c>
      <c r="D7" s="7" t="n">
        <f aca="false">COUNTIFS('Developer Projects'!$B$2:$B$86,A7,'Developer Projects'!$F$2:$F$86,"Ongoing")</f>
        <v>2</v>
      </c>
      <c r="E7" s="7" t="n">
        <f aca="false">COUNTIFS('Developer Projects'!$B$2:$B$86,A7,'Developer Projects'!$F$2:$F$86,"Upcoming")</f>
        <v>1</v>
      </c>
    </row>
    <row r="8" customFormat="false" ht="15" hidden="false" customHeight="false" outlineLevel="0" collapsed="false">
      <c r="A8" s="7" t="s">
        <v>148</v>
      </c>
      <c r="B8" s="7" t="n">
        <f aca="false">COUNTIF('Developer Projects'!$B$2:$B$86,A8)</f>
        <v>8</v>
      </c>
      <c r="C8" s="7" t="n">
        <f aca="false">COUNTIFS('Developer Projects'!$B$2:$B$86,A8,'Developer Projects'!$F$2:$F$86,"Completed")</f>
        <v>5</v>
      </c>
      <c r="D8" s="7" t="n">
        <f aca="false">COUNTIFS('Developer Projects'!$B$2:$B$86,A8,'Developer Projects'!$F$2:$F$86,"Ongoing")</f>
        <v>3</v>
      </c>
      <c r="E8" s="7" t="n">
        <f aca="false">COUNTIFS('Developer Projects'!$B$2:$B$86,A8,'Developer Projects'!$F$2:$F$86,"Upcoming")</f>
        <v>0</v>
      </c>
    </row>
    <row r="9" customFormat="false" ht="15" hidden="false" customHeight="false" outlineLevel="0" collapsed="false">
      <c r="A9" s="7" t="s">
        <v>182</v>
      </c>
      <c r="B9" s="7" t="n">
        <f aca="false">COUNTIF('Developer Projects'!$B$2:$B$86,A9)</f>
        <v>2</v>
      </c>
      <c r="C9" s="7" t="n">
        <f aca="false">COUNTIFS('Developer Projects'!$B$2:$B$86,A9,'Developer Projects'!$F$2:$F$86,"Completed")</f>
        <v>0</v>
      </c>
      <c r="D9" s="7" t="n">
        <f aca="false">COUNTIFS('Developer Projects'!$B$2:$B$86,A9,'Developer Projects'!$F$2:$F$86,"Ongoing")</f>
        <v>1</v>
      </c>
      <c r="E9" s="7" t="n">
        <f aca="false">COUNTIFS('Developer Projects'!$B$2:$B$86,A9,'Developer Projects'!$F$2:$F$86,"Upcoming")</f>
        <v>1</v>
      </c>
    </row>
    <row r="10" customFormat="false" ht="15" hidden="false" customHeight="false" outlineLevel="0" collapsed="false">
      <c r="A10" s="7" t="s">
        <v>193</v>
      </c>
      <c r="B10" s="7" t="n">
        <f aca="false">COUNTIF('Developer Projects'!$B$2:$B$86,A10)</f>
        <v>7</v>
      </c>
      <c r="C10" s="7" t="n">
        <f aca="false">COUNTIFS('Developer Projects'!$B$2:$B$86,A10,'Developer Projects'!$F$2:$F$86,"Completed")</f>
        <v>1</v>
      </c>
      <c r="D10" s="7" t="n">
        <f aca="false">COUNTIFS('Developer Projects'!$B$2:$B$86,A10,'Developer Projects'!$F$2:$F$86,"Ongoing")</f>
        <v>4</v>
      </c>
      <c r="E10" s="7" t="n">
        <f aca="false">COUNTIFS('Developer Projects'!$B$2:$B$86,A10,'Developer Projects'!$F$2:$F$86,"Upcoming")</f>
        <v>2</v>
      </c>
    </row>
    <row r="11" customFormat="false" ht="15" hidden="false" customHeight="false" outlineLevel="0" collapsed="false">
      <c r="A11" s="7" t="s">
        <v>229</v>
      </c>
      <c r="B11" s="7" t="n">
        <f aca="false">COUNTIF('Developer Projects'!$B$2:$B$86,A11)</f>
        <v>2</v>
      </c>
      <c r="C11" s="7" t="n">
        <f aca="false">COUNTIFS('Developer Projects'!$B$2:$B$86,A11,'Developer Projects'!$F$2:$F$86,"Completed")</f>
        <v>0</v>
      </c>
      <c r="D11" s="7" t="n">
        <f aca="false">COUNTIFS('Developer Projects'!$B$2:$B$86,A11,'Developer Projects'!$F$2:$F$86,"Ongoing")</f>
        <v>2</v>
      </c>
      <c r="E11" s="7" t="n">
        <f aca="false">COUNTIFS('Developer Projects'!$B$2:$B$86,A11,'Developer Projects'!$F$2:$F$86,"Upcoming")</f>
        <v>0</v>
      </c>
    </row>
    <row r="12" customFormat="false" ht="15" hidden="false" customHeight="false" outlineLevel="0" collapsed="false">
      <c r="A12" s="7" t="s">
        <v>244</v>
      </c>
      <c r="B12" s="7" t="n">
        <f aca="false">COUNTIF('Developer Projects'!$B$2:$B$86,A12)</f>
        <v>1</v>
      </c>
      <c r="C12" s="7" t="n">
        <f aca="false">COUNTIFS('Developer Projects'!$B$2:$B$86,A12,'Developer Projects'!$F$2:$F$86,"Completed")</f>
        <v>0</v>
      </c>
      <c r="D12" s="7" t="n">
        <f aca="false">COUNTIFS('Developer Projects'!$B$2:$B$86,A12,'Developer Projects'!$F$2:$F$86,"Ongoing")</f>
        <v>1</v>
      </c>
      <c r="E12" s="7" t="n">
        <f aca="false">COUNTIFS('Developer Projects'!$B$2:$B$86,A12,'Developer Projects'!$F$2:$F$86,"Upcoming")</f>
        <v>0</v>
      </c>
    </row>
    <row r="13" customFormat="false" ht="15" hidden="false" customHeight="false" outlineLevel="0" collapsed="false">
      <c r="A13" s="7" t="s">
        <v>253</v>
      </c>
      <c r="B13" s="7" t="n">
        <f aca="false">COUNTIF('Developer Projects'!$B$2:$B$86,A13)</f>
        <v>1</v>
      </c>
      <c r="C13" s="7" t="n">
        <f aca="false">COUNTIFS('Developer Projects'!$B$2:$B$86,A13,'Developer Projects'!$F$2:$F$86,"Completed")</f>
        <v>0</v>
      </c>
      <c r="D13" s="7" t="n">
        <f aca="false">COUNTIFS('Developer Projects'!$B$2:$B$86,A13,'Developer Projects'!$F$2:$F$86,"Ongoing")</f>
        <v>0</v>
      </c>
      <c r="E13" s="7" t="n">
        <f aca="false">COUNTIFS('Developer Projects'!$B$2:$B$86,A13,'Developer Projects'!$F$2:$F$86,"Upcoming")</f>
        <v>1</v>
      </c>
    </row>
    <row r="14" customFormat="false" ht="15" hidden="false" customHeight="false" outlineLevel="0" collapsed="false">
      <c r="A14" s="7" t="s">
        <v>258</v>
      </c>
      <c r="B14" s="7" t="n">
        <f aca="false">COUNTIF('Developer Projects'!$B$2:$B$86,A14)</f>
        <v>5</v>
      </c>
      <c r="C14" s="7" t="n">
        <f aca="false">COUNTIFS('Developer Projects'!$B$2:$B$86,A14,'Developer Projects'!$F$2:$F$86,"Completed")</f>
        <v>4</v>
      </c>
      <c r="D14" s="7" t="n">
        <f aca="false">COUNTIFS('Developer Projects'!$B$2:$B$86,A14,'Developer Projects'!$F$2:$F$86,"Ongoing")</f>
        <v>1</v>
      </c>
      <c r="E14" s="7" t="n">
        <f aca="false">COUNTIFS('Developer Projects'!$B$2:$B$86,A14,'Developer Projects'!$F$2:$F$86,"Upcoming")</f>
        <v>0</v>
      </c>
    </row>
    <row r="15" customFormat="false" ht="15" hidden="false" customHeight="false" outlineLevel="0" collapsed="false">
      <c r="A15" s="7" t="s">
        <v>284</v>
      </c>
      <c r="B15" s="7" t="n">
        <f aca="false">COUNTIF('Developer Projects'!$B$2:$B$86,A15)</f>
        <v>3</v>
      </c>
      <c r="C15" s="7" t="n">
        <f aca="false">COUNTIFS('Developer Projects'!$B$2:$B$86,A15,'Developer Projects'!$F$2:$F$86,"Completed")</f>
        <v>2</v>
      </c>
      <c r="D15" s="7" t="n">
        <f aca="false">COUNTIFS('Developer Projects'!$B$2:$B$86,A15,'Developer Projects'!$F$2:$F$86,"Ongoing")</f>
        <v>1</v>
      </c>
      <c r="E15" s="7" t="n">
        <f aca="false">COUNTIFS('Developer Projects'!$B$2:$B$86,A15,'Developer Projects'!$F$2:$F$86,"Upcoming")</f>
        <v>0</v>
      </c>
    </row>
    <row r="16" customFormat="false" ht="15" hidden="false" customHeight="false" outlineLevel="0" collapsed="false">
      <c r="A16" s="7" t="s">
        <v>295</v>
      </c>
      <c r="B16" s="7" t="n">
        <f aca="false">COUNTIF('Developer Projects'!$B$2:$B$86,A16)</f>
        <v>17</v>
      </c>
      <c r="C16" s="7" t="n">
        <f aca="false">COUNTIFS('Developer Projects'!$B$2:$B$86,A16,'Developer Projects'!$F$2:$F$86,"Completed")</f>
        <v>6</v>
      </c>
      <c r="D16" s="7" t="n">
        <f aca="false">COUNTIFS('Developer Projects'!$B$2:$B$86,A16,'Developer Projects'!$F$2:$F$86,"Ongoing")</f>
        <v>8</v>
      </c>
      <c r="E16" s="7" t="n">
        <f aca="false">COUNTIFS('Developer Projects'!$B$2:$B$86,A16,'Developer Projects'!$F$2:$F$86,"Upcoming")</f>
        <v>3</v>
      </c>
    </row>
    <row r="17" customFormat="false" ht="15" hidden="false" customHeight="false" outlineLevel="0" collapsed="false">
      <c r="A17" s="7" t="s">
        <v>358</v>
      </c>
      <c r="B17" s="7" t="n">
        <f aca="false">COUNTIF('Developer Projects'!$B$2:$B$86,A17)</f>
        <v>2</v>
      </c>
      <c r="C17" s="7" t="n">
        <f aca="false">COUNTIFS('Developer Projects'!$B$2:$B$86,A17,'Developer Projects'!$F$2:$F$86,"Completed")</f>
        <v>0</v>
      </c>
      <c r="D17" s="7" t="n">
        <f aca="false">COUNTIFS('Developer Projects'!$B$2:$B$86,A17,'Developer Projects'!$F$2:$F$86,"Ongoing")</f>
        <v>0</v>
      </c>
      <c r="E17" s="7" t="n">
        <f aca="false">COUNTIFS('Developer Projects'!$B$2:$B$86,A17,'Developer Projects'!$F$2:$F$86,"Upcoming")</f>
        <v>2</v>
      </c>
    </row>
    <row r="18" customFormat="false" ht="15" hidden="false" customHeight="false" outlineLevel="0" collapsed="false">
      <c r="A18" s="7" t="s">
        <v>365</v>
      </c>
      <c r="B18" s="7" t="n">
        <f aca="false">COUNTIF('Developer Projects'!$B$2:$B$86,A18)</f>
        <v>9</v>
      </c>
      <c r="C18" s="7" t="n">
        <f aca="false">COUNTIFS('Developer Projects'!$B$2:$B$86,A18,'Developer Projects'!$F$2:$F$86,"Completed")</f>
        <v>2</v>
      </c>
      <c r="D18" s="7" t="n">
        <f aca="false">COUNTIFS('Developer Projects'!$B$2:$B$86,A18,'Developer Projects'!$F$2:$F$86,"Ongoing")</f>
        <v>7</v>
      </c>
      <c r="E18" s="7" t="n">
        <f aca="false">COUNTIFS('Developer Projects'!$B$2:$B$86,A18,'Developer Projects'!$F$2:$F$86,"Upcoming")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8" t="s">
        <v>401</v>
      </c>
    </row>
    <row r="2" customFormat="false" ht="15" hidden="false" customHeight="false" outlineLevel="0" collapsed="false">
      <c r="A2" s="9" t="s">
        <v>402</v>
      </c>
    </row>
    <row r="3" customFormat="false" ht="15" hidden="false" customHeight="false" outlineLevel="0" collapsed="false">
      <c r="A3" s="9" t="s">
        <v>403</v>
      </c>
    </row>
    <row r="4" customFormat="false" ht="15" hidden="false" customHeight="false" outlineLevel="0" collapsed="false">
      <c r="A4" s="9" t="s">
        <v>404</v>
      </c>
    </row>
    <row r="5" customFormat="false" ht="15" hidden="false" customHeight="false" outlineLevel="0" collapsed="false">
      <c r="A5" s="9" t="s">
        <v>405</v>
      </c>
    </row>
    <row r="6" customFormat="false" ht="15" hidden="false" customHeight="false" outlineLevel="0" collapsed="false">
      <c r="A6" s="9" t="s">
        <v>406</v>
      </c>
    </row>
    <row r="7" customFormat="false" ht="15" hidden="false" customHeight="false" outlineLevel="0" collapsed="false">
      <c r="A7" s="9" t="s">
        <v>407</v>
      </c>
    </row>
    <row r="8" customFormat="false" ht="15" hidden="false" customHeight="false" outlineLevel="0" collapsed="false">
      <c r="A8" s="9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2026-08-04T17:00:18Z</dcterms:created>
  <dc:creator>openpyxl</dc:creator>
  <dc:description/>
  <dc:language>en-US</dc:language>
  <cp:lastModifiedBy/>
  <dcterms:modified xsi:type="dcterms:W3CDTF">2026-08-04T17:00:18Z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